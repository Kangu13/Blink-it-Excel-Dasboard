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A2274390-32A4-401D-B648-BEB44FAB0E08}" xr6:coauthVersionLast="36" xr6:coauthVersionMax="36" xr10:uidLastSave="{00000000-0000-0000-0000-000000000000}"/>
  <bookViews>
    <workbookView xWindow="0" yWindow="0" windowWidth="19200" windowHeight="6230" activeTab="2" xr2:uid="{F8420BDF-C08E-4FBB-891B-F574F63AC6D0}"/>
  </bookViews>
  <sheets>
    <sheet name="BlinkIT Grocery Data" sheetId="1" r:id="rId1"/>
    <sheet name="Pivot Table" sheetId="2" r:id="rId2"/>
    <sheet name="Dashboard" sheetId="3" r:id="rId3"/>
  </sheets>
  <definedNames>
    <definedName name="_xlchart.v2.0" hidden="1">'Pivot Table'!$C$65:$C$67</definedName>
    <definedName name="_xlchart.v2.1" hidden="1">'Pivot Table'!$D$64</definedName>
    <definedName name="_xlchart.v2.2" hidden="1">'Pivot Table'!$D$65:$D$67</definedName>
    <definedName name="_xlchart.v2.3" hidden="1">'Pivot Table'!$C$65:$C$67</definedName>
    <definedName name="_xlchart.v2.4" hidden="1">'Pivot Table'!$D$64</definedName>
    <definedName name="_xlchart.v2.5" hidden="1">'Pivot Table'!$D$65:$D$67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66" i="2" l="1"/>
  <c r="C67" i="2"/>
  <c r="C65" i="2"/>
  <c r="D66" i="2"/>
  <c r="D67" i="2"/>
  <c r="D65" i="2"/>
  <c r="A6" i="2"/>
  <c r="D6" i="2"/>
  <c r="C6" i="2"/>
  <c r="B6"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<sst xmlns="http://schemas.openxmlformats.org/spreadsheetml/2006/main" count="59752" uniqueCount="1631">
  <si>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</si>
  <si>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</si>
  <si>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</si>
  <si>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</si>
  <si>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</si>
  <si>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</si>
  <si>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</si>
  <si>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</si>
  <si>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</si>
  <si>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</si>
  <si>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</si>
  <si>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</si>
  <si>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</si>
  <si>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</si>
  <si>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</si>
  <si>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</si>
  <si>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</si>
  <si>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</si>
  <si>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</si>
  <si>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</si>
  <si>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</si>
  <si>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</si>
  <si>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</si>
  <si>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</si>
  <si>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</si>
  <si>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</si>
  <si>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</si>
  <si>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</si>
  <si>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</si>
  <si>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</si>
  <si>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</si>
  <si>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</si>
  <si>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</si>
  <si>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</si>
  <si>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</si>
  <si>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</si>
  <si>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</si>
  <si>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</si>
  <si>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</si>
  <si>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</si>
  <si>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</si>
  <si>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</si>
  <si>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</si>
  <si>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</si>
  <si>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</si>
  <si>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</si>
  <si>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</si>
  <si>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</si>
  <si>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</si>
  <si>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</si>
  <si>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</si>
  <si>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</si>
  <si>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</si>
  <si>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</si>
  <si>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</si>
  <si>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</si>
  <si>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</si>
  <si>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</si>
  <si>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</si>
  <si>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</si>
  <si>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</si>
  <si>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</si>
  <si>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</si>
  <si>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</si>
  <si>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</si>
  <si>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</si>
  <si>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</si>
  <si>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</si>
  <si>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</si>
  <si>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</si>
  <si>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</si>
  <si>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</si>
  <si>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</si>
  <si>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</si>
  <si>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</si>
  <si>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</si>
  <si>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</si>
  <si>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</si>
  <si>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</si>
  <si>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</si>
  <si>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</si>
  <si>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</si>
  <si>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</si>
  <si>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</si>
  <si>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</si>
  <si>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</si>
  <si>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</si>
  <si>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</si>
  <si>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</si>
  <si>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</si>
  <si>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</si>
  <si>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</si>
  <si>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</si>
  <si>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</si>
  <si>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</si>
  <si>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</si>
  <si>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</si>
  <si>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</si>
  <si>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</si>
  <si>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</si>
  <si>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</si>
  <si>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</si>
  <si>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</si>
  <si>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</si>
  <si>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</si>
  <si>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</si>
  <si>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</si>
  <si>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</si>
  <si>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</si>
  <si>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</si>
  <si>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</si>
  <si>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</si>
  <si>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</si>
  <si>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</si>
  <si>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</si>
  <si>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</si>
  <si>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</si>
  <si>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</si>
  <si>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</si>
  <si>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</si>
  <si>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</si>
  <si>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</si>
  <si>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</si>
  <si>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</si>
  <si>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</si>
  <si>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</si>
  <si>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</si>
  <si>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</si>
  <si>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</si>
  <si>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</si>
  <si>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</si>
  <si>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</si>
  <si>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</si>
  <si>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</si>
  <si>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</si>
  <si>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</si>
  <si>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</si>
  <si>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</si>
  <si>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</si>
  <si>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</si>
  <si>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</si>
  <si>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</si>
  <si>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</si>
  <si>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</si>
  <si>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</si>
  <si>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</si>
  <si>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</si>
  <si>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</si>
  <si>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</si>
  <si>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</si>
  <si>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</si>
  <si>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</si>
  <si>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</si>
  <si>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</si>
  <si>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</si>
  <si>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</si>
  <si>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</si>
  <si>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</si>
  <si>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</si>
  <si>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</si>
  <si>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</si>
  <si>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</si>
  <si>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</si>
  <si>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</si>
  <si>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</si>
  <si>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</si>
  <si>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</si>
  <si>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</si>
  <si>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</si>
  <si>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</si>
  <si>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</si>
  <si>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</si>
  <si>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</si>
  <si>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</si>
  <si>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</si>
  <si>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</si>
  <si>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</si>
  <si>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</si>
  <si>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</si>
  <si>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</si>
  <si>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</si>
  <si>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</si>
  <si>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</si>
  <si>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</si>
  <si>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</si>
  <si>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</si>
  <si>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</si>
  <si>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</si>
  <si>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</si>
  <si>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</si>
  <si>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</si>
  <si>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</si>
  <si>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</si>
  <si>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</si>
  <si>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</si>
  <si>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</si>
  <si>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</si>
  <si>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</si>
  <si>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</si>
  <si>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</si>
  <si>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</si>
  <si>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</si>
  <si>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</si>
  <si>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</si>
  <si>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</si>
  <si>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</si>
  <si>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</si>
  <si>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</si>
  <si>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</si>
  <si>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</si>
  <si>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</si>
  <si>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</si>
  <si>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</si>
  <si>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</si>
  <si>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</si>
  <si>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</si>
  <si>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</si>
  <si>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</si>
  <si>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</si>
  <si>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</si>
  <si>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</si>
  <si>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</si>
  <si>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</si>
  <si>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</si>
  <si>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</si>
  <si>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</si>
  <si>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</si>
  <si>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</si>
  <si>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</si>
  <si>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</si>
  <si>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</si>
  <si>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</si>
  <si>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</si>
  <si>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</si>
  <si>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</si>
  <si>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</si>
  <si>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</si>
  <si>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</si>
  <si>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</si>
  <si>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</si>
  <si>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</si>
  <si>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</si>
  <si>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</si>
  <si>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</si>
  <si>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</si>
  <si>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</si>
  <si>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</si>
  <si>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</si>
  <si>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</si>
  <si>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</si>
  <si>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</si>
  <si>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</si>
  <si>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</si>
  <si>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</si>
  <si>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</si>
  <si>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</si>
  <si>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</si>
  <si>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</si>
  <si>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</si>
  <si>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</si>
  <si>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</si>
  <si>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</si>
  <si>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</si>
  <si>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</si>
  <si>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</si>
  <si>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</si>
  <si>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</si>
  <si>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</si>
  <si>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</si>
  <si>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</si>
  <si>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</si>
  <si>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</si>
  <si>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</si>
  <si>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</si>
  <si>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</si>
  <si>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</si>
  <si>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</si>
  <si>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</si>
  <si>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</si>
  <si>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</si>
  <si>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</si>
  <si>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</si>
  <si>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</si>
  <si>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</si>
  <si>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</si>
  <si>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</si>
  <si>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</si>
  <si>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</si>
  <si>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</si>
  <si>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</si>
  <si>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</si>
  <si>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</si>
  <si>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</si>
  <si>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</si>
  <si>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</si>
  <si>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</si>
  <si>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</si>
  <si>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</si>
  <si>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</si>
  <si>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</si>
  <si>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</si>
  <si>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</si>
  <si>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</si>
  <si>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</si>
  <si>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</si>
  <si>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</si>
  <si>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</si>
  <si>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</si>
  <si>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</si>
  <si>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</si>
  <si>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</si>
  <si>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</si>
  <si>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</si>
  <si>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</si>
  <si>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</si>
  <si>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</si>
  <si>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</si>
  <si>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</si>
  <si>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</si>
  <si>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</si>
  <si>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</si>
  <si>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</si>
  <si>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</si>
  <si>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</si>
  <si>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</si>
  <si>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</si>
  <si>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</si>
  <si>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</si>
  <si>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</si>
  <si>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</si>
  <si>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</si>
  <si>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</si>
  <si>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</si>
  <si>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</si>
  <si>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</si>
  <si>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</si>
  <si>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</si>
  <si>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</si>
  <si>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</si>
  <si>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</si>
  <si>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</si>
  <si>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</si>
  <si>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</si>
  <si>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</si>
  <si>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</si>
  <si>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</si>
  <si>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</si>
  <si>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</si>
  <si>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</si>
  <si>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</si>
  <si>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</si>
  <si>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</si>
  <si>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</si>
  <si>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</si>
  <si>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</si>
  <si>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</si>
  <si>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</si>
  <si>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</si>
  <si>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</si>
  <si>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</si>
  <si>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</si>
  <si>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</si>
  <si>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</si>
  <si>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</si>
  <si>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</si>
  <si>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</si>
  <si>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</si>
  <si>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</si>
  <si>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</si>
  <si>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</si>
  <si>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</si>
  <si>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</si>
  <si>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</si>
  <si>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</si>
  <si>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</si>
  <si>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</si>
  <si>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</si>
  <si>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</si>
  <si>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</si>
  <si>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</si>
  <si>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</si>
  <si>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</si>
  <si>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</si>
  <si>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</si>
  <si>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</si>
  <si>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</si>
  <si>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</si>
  <si>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</si>
  <si>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</si>
  <si>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</si>
  <si>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</si>
  <si>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</si>
  <si>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</si>
  <si>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</si>
  <si>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</si>
  <si>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</si>
  <si>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</si>
  <si>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</si>
  <si>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</si>
  <si>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</si>
  <si>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</si>
  <si>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</si>
  <si>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</si>
  <si>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</si>
  <si>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</si>
  <si>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</si>
  <si>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</si>
  <si>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</si>
  <si>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</si>
  <si>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</si>
  <si>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</si>
  <si>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</si>
  <si>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</si>
  <si>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</si>
  <si>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</si>
  <si>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</si>
  <si>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</si>
  <si>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</si>
  <si>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</si>
  <si>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</si>
  <si>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</si>
  <si>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</si>
  <si>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</si>
  <si>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</si>
  <si>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</si>
  <si>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</si>
  <si>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</si>
  <si>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</si>
  <si>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</si>
  <si>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</si>
  <si>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</si>
  <si>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</si>
  <si>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</si>
  <si>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</si>
  <si>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</si>
  <si>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</si>
  <si>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</si>
  <si>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</si>
  <si>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</si>
  <si>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</si>
  <si>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</si>
  <si>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</si>
  <si>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</si>
  <si>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</si>
  <si>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</si>
  <si>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</si>
  <si>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</si>
  <si>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</si>
  <si>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</si>
  <si>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</si>
  <si>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</si>
  <si>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</si>
  <si>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</si>
  <si>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</si>
  <si>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</si>
  <si>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</si>
  <si>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</si>
  <si>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</si>
  <si>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</si>
  <si>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</si>
  <si>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</si>
  <si>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</si>
  <si>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</si>
  <si>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</si>
  <si>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</si>
  <si>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</si>
  <si>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</si>
  <si>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</si>
  <si>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</si>
  <si>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</si>
  <si>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</si>
  <si>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</si>
  <si>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</si>
  <si>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</si>
  <si>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</si>
  <si>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</si>
  <si>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</si>
  <si>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</si>
  <si>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</si>
  <si>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</si>
  <si>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</si>
  <si>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</si>
  <si>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</si>
  <si>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</si>
  <si>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</si>
  <si>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</si>
  <si>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</si>
  <si>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</si>
  <si>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</si>
  <si>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</si>
  <si>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</si>
  <si>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</si>
  <si>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</si>
  <si>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</si>
  <si>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</si>
  <si>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</si>
  <si>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</si>
  <si>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</si>
  <si>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</si>
  <si>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</si>
  <si>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</si>
  <si>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</si>
  <si>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</si>
  <si>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</si>
  <si>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</si>
  <si>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</si>
  <si>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</si>
  <si>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</si>
  <si>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</si>
  <si>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</si>
  <si>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</si>
  <si>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</si>
  <si>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</si>
  <si>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</si>
  <si>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</si>
  <si>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</si>
  <si>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</si>
  <si>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</si>
  <si>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</si>
  <si>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</si>
  <si>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</si>
  <si>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</si>
  <si>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</si>
  <si>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</si>
  <si>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</si>
  <si>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</si>
  <si>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</si>
  <si>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</si>
  <si>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</si>
  <si>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</si>
  <si>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</si>
  <si>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</si>
  <si>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</si>
  <si>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</si>
  <si>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</si>
  <si>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</si>
  <si>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</si>
  <si>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</si>
  <si>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</si>
  <si>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</si>
  <si>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</si>
  <si>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</si>
  <si>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</si>
  <si>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</si>
  <si>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</si>
  <si>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</si>
  <si>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</si>
  <si>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</si>
  <si>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</si>
  <si>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</si>
  <si>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</si>
  <si>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</si>
  <si>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</si>
  <si>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</si>
  <si>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</si>
  <si>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</si>
  <si>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</si>
  <si>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</si>
  <si>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</si>
  <si>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</si>
  <si>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</si>
  <si>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</si>
  <si>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</si>
  <si>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</si>
  <si>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</si>
  <si>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</si>
  <si>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</si>
  <si>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</si>
  <si>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</si>
  <si>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</si>
  <si>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</si>
  <si>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</si>
  <si>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</si>
  <si>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</si>
  <si>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</si>
  <si>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</si>
  <si>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</si>
  <si>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</si>
  <si>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</si>
  <si>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</si>
  <si>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</si>
  <si>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</si>
  <si>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</si>
  <si>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</si>
  <si>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</si>
  <si>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</si>
  <si>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</si>
  <si>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</si>
  <si>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</si>
  <si>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</si>
  <si>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</si>
  <si>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</si>
  <si>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</si>
  <si>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</si>
  <si>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</si>
  <si>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</si>
  <si>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</si>
  <si>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</si>
  <si>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</si>
  <si>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</si>
  <si>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</si>
  <si>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</si>
  <si>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</si>
  <si>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</si>
  <si>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</si>
  <si>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</si>
  <si>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</si>
  <si>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</si>
  <si>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</si>
  <si>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</si>
  <si>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</si>
  <si>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</si>
  <si>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</si>
  <si>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</si>
  <si>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</si>
  <si>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</si>
  <si>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</si>
  <si>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</si>
  <si>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</si>
  <si>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</si>
  <si>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</si>
  <si>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</si>
  <si>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</si>
  <si>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</si>
  <si>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</si>
  <si>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</si>
  <si>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</si>
  <si>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</si>
  <si>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</si>
  <si>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</si>
  <si>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</si>
  <si>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</si>
  <si>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</si>
  <si>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</si>
  <si>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</si>
  <si>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</si>
  <si>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</si>
  <si>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</si>
  <si>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</si>
  <si>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</si>
  <si>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</si>
  <si>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</si>
  <si>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</si>
  <si>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</si>
  <si>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</si>
  <si>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</si>
  <si>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</si>
  <si>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</si>
  <si>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</si>
  <si>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</si>
  <si>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</si>
  <si>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</si>
  <si>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</si>
  <si>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</si>
  <si>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</si>
  <si>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</si>
  <si>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</si>
  <si>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</si>
  <si>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</si>
  <si>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</si>
  <si>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</si>
  <si>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</si>
  <si>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</si>
  <si>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</si>
  <si>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</si>
  <si>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</si>
  <si>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</si>
  <si>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</si>
  <si>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</si>
  <si>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</si>
  <si>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</si>
  <si>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</si>
  <si>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</si>
  <si>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</si>
  <si>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</si>
  <si>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</si>
  <si>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</si>
  <si>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</si>
  <si>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</si>
  <si>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</si>
  <si>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</si>
  <si>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</si>
  <si>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</si>
  <si>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</si>
  <si>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</si>
  <si>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</si>
  <si>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</si>
  <si>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</si>
  <si>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</si>
  <si>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</si>
  <si>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</si>
  <si>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</si>
  <si>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</si>
  <si>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</si>
  <si>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</si>
  <si>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</si>
  <si>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</si>
  <si>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</si>
  <si>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</si>
  <si>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</si>
  <si>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</si>
  <si>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</si>
  <si>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</si>
  <si>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</si>
  <si>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</si>
  <si>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</si>
  <si>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</si>
  <si>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</si>
  <si>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</si>
  <si>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</si>
  <si>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</si>
  <si>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</si>
  <si>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</si>
  <si>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</si>
  <si>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</si>
  <si>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</si>
  <si>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</si>
  <si>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</si>
  <si>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</si>
  <si>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</si>
  <si>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</si>
  <si>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</si>
  <si>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</si>
  <si>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</si>
  <si>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</si>
  <si>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</si>
  <si>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</si>
  <si>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</si>
  <si>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</si>
  <si>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</si>
  <si>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</si>
  <si>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</si>
  <si>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</si>
  <si>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</si>
  <si>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</si>
  <si>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</si>
  <si>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</si>
  <si>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</si>
  <si>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</si>
  <si>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</si>
  <si>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</si>
  <si>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</si>
  <si>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</si>
  <si>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</si>
  <si>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</si>
  <si>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</si>
  <si>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</si>
  <si>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</si>
  <si>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</si>
  <si>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</si>
  <si>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</si>
  <si>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</si>
  <si>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</si>
  <si>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</si>
  <si>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</si>
  <si>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</si>
  <si>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</si>
  <si>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</si>
  <si>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</si>
  <si>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</si>
  <si>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</si>
  <si>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</si>
  <si>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</si>
  <si>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</si>
  <si>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</si>
  <si>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</si>
  <si>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</si>
  <si>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</si>
  <si>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</si>
  <si>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</si>
  <si>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</si>
  <si>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</si>
  <si>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</si>
  <si>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</si>
  <si>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</si>
  <si>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</si>
  <si>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</si>
  <si>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</si>
  <si>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</si>
  <si>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</si>
  <si>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</si>
  <si>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</si>
  <si>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</si>
  <si>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</si>
  <si>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</si>
  <si>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</si>
  <si>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</si>
  <si>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</si>
  <si>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</si>
  <si>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</si>
  <si>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</si>
  <si>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</si>
  <si>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</si>
  <si>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</si>
  <si>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</si>
  <si>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</si>
  <si>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</si>
  <si>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</si>
  <si>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</si>
  <si>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</si>
  <si>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</si>
  <si>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</si>
  <si>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</si>
  <si>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</si>
  <si>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</si>
  <si>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</si>
  <si>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</si>
  <si>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</si>
  <si>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</si>
  <si>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</si>
  <si>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</si>
  <si>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</si>
  <si>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</si>
  <si>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</si>
  <si>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</si>
  <si>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</si>
  <si>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</si>
  <si>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</si>
  <si>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</si>
  <si>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</si>
  <si>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</si>
  <si>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</si>
  <si>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</si>
  <si>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</si>
  <si>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</si>
  <si>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</si>
  <si>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</si>
  <si>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</si>
  <si>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</si>
  <si>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</si>
  <si>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</si>
  <si>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</si>
  <si>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</si>
  <si>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</si>
  <si>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</si>
  <si>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</si>
  <si>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</si>
  <si>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</si>
  <si>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</si>
  <si>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</si>
  <si>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</si>
  <si>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</si>
  <si>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</si>
  <si>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</si>
  <si>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</si>
  <si>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</si>
  <si>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</si>
  <si>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</si>
  <si>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</si>
  <si>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</si>
  <si>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</si>
  <si>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</si>
  <si>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</si>
  <si>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</si>
  <si>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</si>
  <si>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</si>
  <si>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</si>
  <si>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</si>
  <si>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</si>
  <si>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</si>
  <si>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</si>
  <si>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</si>
  <si>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</si>
  <si>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</si>
  <si>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</si>
  <si>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</si>
  <si>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</si>
  <si>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</si>
  <si>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</si>
  <si>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</si>
  <si>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</si>
  <si>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</si>
  <si>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</si>
  <si>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</si>
  <si>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</si>
  <si>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</si>
  <si>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</si>
  <si>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</si>
  <si>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</si>
  <si>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</si>
  <si>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</si>
  <si>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</si>
  <si>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</si>
  <si>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</si>
  <si>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</si>
  <si>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</si>
  <si>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</si>
  <si>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</si>
  <si>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</si>
  <si>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</si>
  <si>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</si>
  <si>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</si>
  <si>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</si>
  <si>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</si>
  <si>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</si>
  <si>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</si>
  <si>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</si>
  <si>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</si>
  <si>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</si>
  <si>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</si>
  <si>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</si>
  <si>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</si>
  <si>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</si>
  <si>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</si>
  <si>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</si>
  <si>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</si>
  <si>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</si>
  <si>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</si>
  <si>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</si>
  <si>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</si>
  <si>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</si>
  <si>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</si>
  <si>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</si>
  <si>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</si>
  <si>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</si>
  <si>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</si>
  <si>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</si>
  <si>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</si>
  <si>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</si>
  <si>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</si>
  <si>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</si>
  <si>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</si>
  <si>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</si>
  <si>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</si>
  <si>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</si>
  <si>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</si>
  <si>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</si>
  <si>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</si>
  <si>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</si>
  <si>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</si>
  <si>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</si>
  <si>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</si>
  <si>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</si>
  <si>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</si>
  <si>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</si>
  <si>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</si>
  <si>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</si>
  <si>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</si>
  <si>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</si>
  <si>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</si>
  <si>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</si>
  <si>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</si>
  <si>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</si>
  <si>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</si>
  <si>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</si>
  <si>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</si>
  <si>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</si>
  <si>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</si>
  <si>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</si>
  <si>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</si>
  <si>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</si>
  <si>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</si>
  <si>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</si>
  <si>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</si>
  <si>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</si>
  <si>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</si>
  <si>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</si>
  <si>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</si>
  <si>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</si>
  <si>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</si>
  <si>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</si>
  <si>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</si>
  <si>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</si>
  <si>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</si>
  <si>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</si>
  <si>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</si>
  <si>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</si>
  <si>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</si>
  <si>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</si>
  <si>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</si>
  <si>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</si>
  <si>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</si>
  <si>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</si>
  <si>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</si>
  <si>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</si>
  <si>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</si>
  <si>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</si>
  <si>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</si>
  <si>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</si>
  <si>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</si>
  <si>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</si>
  <si>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</si>
  <si>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</si>
  <si>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</si>
  <si>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</si>
  <si>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</si>
  <si>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</si>
  <si>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</si>
  <si>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</si>
  <si>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</si>
  <si>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</si>
  <si>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</si>
  <si>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</si>
  <si>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</si>
  <si>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</si>
  <si>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</si>
  <si>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</si>
  <si>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</si>
  <si>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</si>
  <si>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</si>
  <si>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</si>
  <si>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</si>
  <si>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</si>
  <si>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</si>
  <si>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</si>
  <si>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</si>
  <si>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</si>
  <si>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</si>
  <si>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</si>
  <si>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</si>
  <si>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</si>
  <si>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</si>
  <si>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</si>
  <si>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</si>
  <si>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</si>
  <si>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</si>
  <si>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</si>
  <si>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</si>
  <si>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</si>
  <si>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</si>
  <si>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</si>
  <si>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</si>
  <si>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</si>
  <si>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</si>
  <si>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</si>
  <si>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</si>
  <si>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</si>
  <si>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</si>
  <si>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</si>
  <si>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</si>
  <si>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</si>
  <si>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</si>
  <si>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</si>
  <si>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</si>
  <si>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</si>
  <si>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</si>
  <si>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</si>
  <si>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</si>
  <si>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</si>
  <si>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</si>
  <si>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</si>
  <si>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</si>
  <si>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</si>
  <si>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</si>
  <si>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</si>
  <si>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</si>
  <si>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</si>
  <si>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</si>
  <si>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</si>
  <si>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</si>
  <si>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</si>
  <si>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</si>
  <si>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</si>
  <si>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</si>
  <si>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</si>
  <si>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</si>
  <si>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</si>
  <si>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</si>
  <si>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</si>
  <si>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</si>
  <si>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</si>
  <si>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</si>
  <si>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</si>
  <si>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</si>
  <si>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</si>
  <si>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</si>
  <si>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</si>
  <si>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</si>
  <si>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</si>
  <si>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</si>
  <si>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</si>
  <si>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</si>
  <si>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</si>
  <si>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</si>
  <si>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</si>
  <si>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</si>
  <si>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</si>
  <si>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</si>
  <si>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</si>
  <si>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</si>
  <si>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</si>
  <si>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</si>
  <si>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</si>
  <si>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</si>
  <si>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</si>
  <si>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</si>
  <si>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</si>
  <si>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</si>
  <si>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</si>
  <si>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</si>
  <si>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</si>
  <si>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</si>
  <si>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</si>
  <si>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</si>
  <si>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</si>
  <si>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</si>
  <si>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</si>
  <si>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</si>
  <si>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</si>
  <si>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</si>
  <si>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</si>
  <si>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</si>
  <si>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</si>
  <si>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</si>
  <si>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</si>
  <si>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</si>
  <si>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</si>
  <si>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</si>
  <si>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</si>
  <si>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</si>
  <si>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</si>
  <si>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</si>
  <si>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</si>
  <si>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</si>
  <si>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</si>
  <si>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</si>
  <si>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</si>
  <si>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</si>
  <si>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</si>
  <si>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</si>
  <si>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</si>
  <si>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</si>
  <si>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</si>
  <si>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</si>
  <si>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</si>
  <si>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</si>
  <si>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</si>
  <si>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</si>
  <si>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</si>
  <si>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</si>
  <si>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</si>
  <si>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</si>
  <si>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</si>
  <si>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</si>
  <si>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</si>
  <si>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</si>
  <si>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</si>
  <si>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</si>
  <si>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</si>
  <si>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</si>
  <si>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</si>
  <si>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</si>
  <si>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</si>
  <si>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</si>
  <si>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</si>
  <si>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</si>
  <si>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</si>
  <si>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</si>
  <si>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</si>
  <si>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</si>
  <si>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</si>
  <si>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</si>
  <si>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</si>
  <si>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</si>
  <si>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</si>
  <si>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</si>
  <si>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</si>
  <si>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</si>
  <si>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</si>
  <si>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</si>
  <si>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</si>
  <si>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</si>
  <si>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</si>
  <si>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</si>
  <si>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</si>
  <si>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</si>
  <si>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</si>
  <si>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</si>
  <si>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</si>
  <si>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</si>
  <si>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</si>
  <si>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</si>
  <si>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</si>
  <si>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</si>
  <si>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</si>
  <si>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</si>
  <si>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</si>
  <si>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</si>
  <si>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</si>
  <si>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</si>
  <si>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</si>
  <si>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</si>
  <si>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</si>
  <si>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</si>
  <si>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</si>
  <si>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</si>
  <si>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</si>
  <si>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</si>
  <si>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</si>
  <si>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</si>
  <si>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</si>
  <si>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</si>
  <si>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</si>
  <si>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</si>
  <si>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</si>
  <si>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</si>
  <si>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</si>
  <si>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</si>
  <si>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</si>
  <si>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</si>
  <si>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</si>
  <si>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</si>
  <si>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</si>
  <si>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</si>
  <si>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</si>
  <si>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</si>
  <si>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</si>
  <si>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</si>
  <si>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</si>
  <si>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</si>
  <si>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</si>
  <si>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</si>
  <si>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</si>
  <si>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</si>
  <si>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</si>
  <si>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</si>
  <si>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</si>
  <si>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</si>
  <si>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</si>
  <si>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</si>
  <si>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</si>
  <si>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</si>
  <si>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</si>
  <si>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</si>
  <si>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</si>
  <si>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</si>
  <si>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</si>
  <si>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</si>
  <si>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</si>
  <si>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</si>
  <si>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</si>
  <si>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</si>
  <si>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</si>
  <si>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</si>
  <si>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</si>
  <si>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</si>
  <si>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</si>
  <si>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</si>
  <si>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</si>
  <si>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</si>
  <si>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</si>
  <si>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</si>
  <si>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</si>
  <si>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</si>
  <si>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</si>
  <si>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</si>
  <si>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</si>
  <si>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</si>
  <si>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</si>
  <si>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</si>
  <si>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</si>
  <si>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</si>
  <si>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</si>
  <si>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</si>
  <si>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</si>
  <si>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</si>
  <si>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</si>
  <si>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</si>
  <si>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</si>
  <si>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</si>
  <si>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</si>
  <si>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</si>
  <si>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</si>
  <si>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</si>
  <si>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</si>
  <si>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</si>
  <si>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</si>
  <si>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</si>
  <si>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</si>
  <si>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</si>
  <si>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</si>
  <si>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</si>
  <si>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</si>
  <si>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</si>
  <si>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</si>
  <si>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</si>
  <si>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</si>
  <si>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</si>
  <si>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</si>
  <si>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</si>
  <si>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</si>
  <si>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</si>
  <si>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</si>
  <si>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</si>
  <si>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</si>
  <si>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</si>
  <si>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</si>
  <si>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</si>
  <si>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</si>
  <si>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</si>
  <si>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</si>
  <si>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</si>
  <si>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</si>
  <si>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</si>
  <si>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</si>
  <si>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</si>
  <si>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</si>
  <si>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</si>
  <si>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</si>
  <si>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</si>
  <si>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</si>
  <si>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</si>
  <si>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</si>
  <si>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</si>
  <si>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</si>
  <si>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</si>
  <si>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</si>
  <si>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</si>
  <si>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</si>
  <si>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</si>
  <si>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</si>
  <si>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</si>
  <si>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</si>
  <si>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</si>
  <si>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</si>
  <si>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</si>
  <si>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</si>
  <si>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</si>
  <si>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</si>
  <si>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</si>
  <si>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</si>
  <si>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</si>
  <si>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</si>
  <si>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</si>
  <si>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</si>
  <si>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</si>
  <si>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</si>
  <si>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</si>
  <si>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</si>
  <si>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</si>
  <si>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</si>
  <si>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</si>
  <si>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</si>
  <si>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</si>
  <si>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</si>
  <si>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</si>
  <si>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</si>
  <si>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</si>
  <si>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</si>
  <si>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</si>
  <si>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</si>
  <si>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</si>
  <si>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</si>
  <si>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</si>
  <si>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</si>
  <si>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</si>
  <si>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</si>
  <si>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</si>
  <si>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</si>
  <si>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</si>
  <si>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</si>
  <si>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</si>
  <si>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</si>
  <si>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</si>
  <si>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</si>
  <si>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</si>
  <si>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</si>
  <si>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</si>
  <si>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</si>
  <si>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</si>
  <si>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</si>
  <si>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</si>
  <si>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</si>
  <si>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</si>
  <si>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</si>
  <si>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</si>
  <si>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</si>
  <si>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</si>
  <si>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</si>
  <si>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</si>
  <si>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</si>
  <si>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</si>
  <si>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</si>
  <si>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</si>
  <si>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</si>
  <si>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</si>
  <si>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</si>
  <si>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</si>
  <si>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</si>
  <si>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</si>
  <si>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</si>
  <si>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</si>
  <si>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</si>
  <si>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</si>
  <si>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</si>
  <si>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</si>
  <si>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</si>
  <si>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</si>
  <si>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</si>
  <si>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</si>
  <si>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</si>
  <si>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</si>
  <si>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</si>
  <si>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</si>
  <si>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</si>
  <si>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</si>
  <si>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</si>
  <si>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</si>
  <si>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</si>
  <si>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</si>
  <si>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</si>
  <si>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</si>
  <si>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</si>
  <si>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</si>
  <si>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</si>
  <si>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</si>
  <si>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</si>
  <si>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</si>
  <si>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</si>
  <si>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</si>
  <si>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</si>
  <si>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</si>
  <si>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</si>
  <si>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</si>
  <si>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</si>
  <si>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</si>
  <si>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</si>
  <si>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</si>
  <si>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</si>
  <si>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</si>
  <si>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</si>
  <si>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</si>
  <si>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</si>
  <si>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</si>
  <si>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</si>
  <si>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</si>
  <si>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</si>
  <si>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</si>
  <si>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</si>
  <si>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</si>
  <si>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</si>
  <si>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</si>
  <si>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</si>
  <si>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</si>
  <si>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</si>
  <si>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</si>
  <si>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</si>
  <si>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</si>
  <si>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</si>
  <si>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</si>
  <si>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</si>
  <si>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</si>
  <si>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</si>
  <si>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</si>
  <si>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</si>
  <si>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</si>
  <si>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</si>
  <si>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</si>
  <si>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</si>
  <si>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</si>
  <si>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</si>
  <si>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</si>
  <si>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</si>
  <si>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</si>
  <si>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</si>
  <si>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</si>
  <si>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</si>
  <si>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</si>
  <si>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</si>
  <si>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</si>
  <si>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</si>
  <si>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</si>
  <si>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</si>
  <si>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</si>
  <si>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</si>
  <si>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</si>
  <si>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</si>
  <si>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</si>
  <si>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</si>
  <si>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</si>
  <si>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</si>
  <si>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</si>
  <si>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</si>
  <si>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</si>
  <si>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</si>
  <si>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</si>
  <si>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</si>
  <si>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</si>
  <si>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</si>
  <si>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</si>
  <si>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</si>
  <si>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</si>
  <si>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</si>
  <si>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</si>
  <si>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</si>
  <si>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</si>
  <si>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</si>
  <si>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</si>
  <si>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</si>
  <si>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</si>
  <si>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</si>
  <si>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</si>
  <si>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</si>
  <si>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</si>
  <si>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</si>
  <si>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</si>
  <si>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</si>
  <si>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</si>
  <si>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</si>
  <si>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</si>
  <si>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</si>
  <si>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</si>
  <si>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</si>
  <si>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</si>
  <si>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</si>
  <si>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</si>
  <si>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</si>
  <si>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</si>
  <si>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</si>
  <si>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</si>
  <si>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</si>
  <si>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</si>
  <si>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</si>
  <si>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</si>
  <si>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</si>
  <si>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</si>
  <si>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</si>
  <si>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</si>
  <si>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</si>
  <si>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</si>
  <si>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</si>
  <si>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</si>
  <si>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</si>
  <si>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</si>
  <si>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</si>
  <si>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</si>
  <si>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</si>
  <si>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</si>
  <si>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</si>
  <si>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</si>
  <si>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</si>
  <si>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</si>
  <si>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</si>
  <si>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</si>
  <si>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</si>
  <si>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</si>
  <si>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</si>
  <si>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</si>
  <si>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</si>
  <si>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</si>
  <si>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</si>
  <si>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</si>
  <si>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</si>
  <si>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</si>
  <si>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</si>
  <si>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</si>
  <si>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</si>
  <si>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</si>
  <si>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</si>
  <si>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</si>
  <si>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</si>
  <si>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</si>
  <si>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</si>
  <si>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</si>
  <si>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</si>
  <si>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</si>
  <si>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</si>
  <si>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</si>
  <si>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</si>
  <si>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</si>
  <si>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</si>
  <si>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</si>
  <si>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</si>
  <si>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</si>
  <si>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</si>
  <si>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</si>
  <si>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</si>
  <si>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</si>
  <si>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</si>
  <si>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</si>
  <si>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</si>
  <si>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</si>
  <si>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</si>
  <si>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</si>
  <si>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</si>
  <si>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</si>
  <si>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</si>
  <si>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</si>
  <si>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</si>
  <si>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</si>
  <si>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</si>
  <si>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</si>
  <si>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</si>
  <si>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</si>
  <si>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</si>
  <si>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</si>
  <si>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</si>
  <si>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</si>
  <si>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</si>
  <si>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</si>
  <si>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</si>
  <si>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</si>
  <si>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</si>
  <si>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</si>
  <si>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</si>
  <si>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</si>
  <si>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</si>
  <si>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</si>
  <si>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</si>
  <si>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</si>
  <si>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</si>
  <si>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</si>
  <si>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</si>
  <si>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</si>
  <si>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</si>
  <si>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</si>
  <si>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</si>
  <si>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</si>
  <si>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</si>
  <si>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</si>
  <si>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</si>
  <si>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</si>
  <si>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</si>
  <si>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</si>
  <si>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Average of Rating</t>
  </si>
  <si>
    <t>Total Sales</t>
  </si>
  <si>
    <t>Avg Sales</t>
  </si>
  <si>
    <t>No. of items</t>
  </si>
  <si>
    <t>Avg Rating</t>
  </si>
  <si>
    <t>KPI's Requirements</t>
  </si>
  <si>
    <t>Row Labels</t>
  </si>
  <si>
    <t>Total Sales by Fat Content</t>
  </si>
  <si>
    <t>Total Sales by Item type</t>
  </si>
  <si>
    <t>Column Labels</t>
  </si>
  <si>
    <t>Total Sales by OUTLET type</t>
  </si>
  <si>
    <t>Total Sales by OUTLET ESTABLISHMENT</t>
  </si>
  <si>
    <t>Total Sales by OUTLET SIZE</t>
  </si>
  <si>
    <t>Outlet Location</t>
  </si>
  <si>
    <t>Total Sales by OUTLET LOCATION</t>
  </si>
  <si>
    <t>Count of Sales</t>
  </si>
  <si>
    <t>All matrics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</si>
</sst>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5"/>
      <color theme="1"/>
      <name val="Calibri"/>
      <family val="2"/>
      <scheme val="minor"/>
    </font>
    <font>
      <sz val="24"/>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4" xfId="0" applyNumberFormat="1" applyBorder="1"/>
    <xf numFmtId="0" fontId="0" fillId="0" borderId="15" xfId="0" applyNumberFormat="1" applyBorder="1"/>
    <xf numFmtId="0" fontId="0" fillId="0" borderId="17" xfId="0" applyBorder="1"/>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19" fillId="0" borderId="16" xfId="0" applyNumberFormat="1" applyFont="1" applyBorder="1"/>
    <xf numFmtId="164" fontId="19" fillId="0" borderId="18" xfId="0" applyNumberFormat="1" applyFont="1" applyBorder="1"/>
    <xf numFmtId="0" fontId="19" fillId="0" borderId="17" xfId="0" applyFont="1" applyBorder="1"/>
    <xf numFmtId="165" fontId="19" fillId="0" borderId="17" xfId="0" applyNumberFormat="1" applyFont="1" applyBorder="1"/>
    <xf numFmtId="0" fontId="0" fillId="0" borderId="0" xfId="0" pivotButton="1"/>
    <xf numFmtId="0" fontId="0" fillId="0" borderId="24" xfId="0" applyBorder="1" applyAlignment="1">
      <alignment horizontal="left"/>
    </xf>
    <xf numFmtId="0" fontId="0" fillId="0" borderId="23" xfId="0" applyBorder="1" applyAlignment="1">
      <alignment horizontal="left"/>
    </xf>
    <xf numFmtId="0" fontId="0" fillId="0" borderId="22" xfId="0" applyNumberFormat="1" applyBorder="1"/>
    <xf numFmtId="0" fontId="0" fillId="0" borderId="16" xfId="0" applyBorder="1"/>
    <xf numFmtId="0" fontId="0" fillId="0" borderId="18" xfId="0" applyBorder="1"/>
    <xf numFmtId="0" fontId="0" fillId="0" borderId="10" xfId="0" pivotButton="1" applyBorder="1"/>
    <xf numFmtId="0" fontId="0" fillId="0" borderId="10" xfId="0" applyBorder="1"/>
    <xf numFmtId="167" fontId="0" fillId="0" borderId="23" xfId="0" applyNumberFormat="1" applyBorder="1"/>
    <xf numFmtId="0" fontId="0" fillId="0" borderId="11" xfId="0" applyNumberFormat="1" applyBorder="1"/>
    <xf numFmtId="0" fontId="0" fillId="0" borderId="13" xfId="0" applyNumberFormat="1" applyBorder="1"/>
    <xf numFmtId="0" fontId="0" fillId="0" borderId="22"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0" fontId="0" fillId="0" borderId="0" xfId="0" pivotButton="1" applyBorder="1"/>
    <xf numFmtId="0" fontId="0" fillId="0" borderId="15" xfId="0" pivotButton="1" applyBorder="1"/>
    <xf numFmtId="0" fontId="0" fillId="0" borderId="0" xfId="0" applyBorder="1" applyAlignment="1">
      <alignment horizontal="center"/>
    </xf>
    <xf numFmtId="168" fontId="0" fillId="0" borderId="0"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6">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quot;$&quot;0.00,&quot;K&quot;"/>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numFmt numFmtId="169"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9EA835E-58B7-4F82-A4B9-1B34267E182D}">
      <tableStyleElement type="wholeTable" dxfId="1695"/>
      <tableStyleElement type="headerRow" dxfId="1694"/>
    </tableStyle>
  </tableStyles>
  <colors>
    <mruColors>
      <color rgb="FFF2B800"/>
      <color rgb="FFFBFAF3"/>
      <color rgb="FFF5F3DF"/>
      <color rgb="FFEBE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Table!PivotTable2</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D4-4417-81A0-53ADDFA87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417-81A0-53ADDFA879BC}"/>
              </c:ext>
            </c:extLst>
          </c:dPt>
          <c:cat>
            <c:strRef>
              <c:f>'Pivot Table'!$A$9:$A$10</c:f>
              <c:strCache>
                <c:ptCount val="2"/>
                <c:pt idx="0">
                  <c:v>Low Fat</c:v>
                </c:pt>
                <c:pt idx="1">
                  <c:v>Regular</c:v>
                </c:pt>
              </c:strCache>
            </c:strRef>
          </c:cat>
          <c:val>
            <c:numRef>
              <c:f>'Pivot Table'!$B$9:$B$10</c:f>
              <c:numCache>
                <c:formatCode>General</c:formatCode>
                <c:ptCount val="2"/>
                <c:pt idx="0">
                  <c:v>776319.68840000057</c:v>
                </c:pt>
                <c:pt idx="1">
                  <c:v>425361.8043999995</c:v>
                </c:pt>
              </c:numCache>
            </c:numRef>
          </c:val>
          <c:extLst>
            <c:ext xmlns:c16="http://schemas.microsoft.com/office/drawing/2014/chart" uri="{C3380CC4-5D6E-409C-BE32-E72D297353CC}">
              <c16:uniqueId val="{00000000-0A88-478F-9C6B-AB2822909D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Table!PivotTable3</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Table'!$B$17:$B$18</c:f>
              <c:strCache>
                <c:ptCount val="1"/>
                <c:pt idx="0">
                  <c:v>Regular</c:v>
                </c:pt>
              </c:strCache>
            </c:strRef>
          </c:tx>
          <c:spPr>
            <a:solidFill>
              <a:schemeClr val="accent1"/>
            </a:solidFill>
            <a:ln>
              <a:noFill/>
            </a:ln>
            <a:effectLst/>
          </c:spPr>
          <c:invertIfNegative val="0"/>
          <c:cat>
            <c:strRef>
              <c:f>'Pivot Table'!$A$19:$A$21</c:f>
              <c:strCache>
                <c:ptCount val="3"/>
                <c:pt idx="0">
                  <c:v>Tier 1</c:v>
                </c:pt>
                <c:pt idx="1">
                  <c:v>Tier 2</c:v>
                </c:pt>
                <c:pt idx="2">
                  <c:v>Tier 3</c:v>
                </c:pt>
              </c:strCache>
            </c:strRef>
          </c:cat>
          <c:val>
            <c:numRef>
              <c:f>'Pivot Table'!$B$19:$B$21</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CF2A-4EFE-BEAE-BFBD72949BE5}"/>
            </c:ext>
          </c:extLst>
        </c:ser>
        <c:ser>
          <c:idx val="1"/>
          <c:order val="1"/>
          <c:tx>
            <c:strRef>
              <c:f>'Pivot Table'!$C$17:$C$18</c:f>
              <c:strCache>
                <c:ptCount val="1"/>
                <c:pt idx="0">
                  <c:v>Low Fat</c:v>
                </c:pt>
              </c:strCache>
            </c:strRef>
          </c:tx>
          <c:spPr>
            <a:solidFill>
              <a:schemeClr val="accent2"/>
            </a:solidFill>
            <a:ln>
              <a:noFill/>
            </a:ln>
            <a:effectLst/>
          </c:spPr>
          <c:invertIfNegative val="0"/>
          <c:cat>
            <c:strRef>
              <c:f>'Pivot Table'!$A$19:$A$21</c:f>
              <c:strCache>
                <c:ptCount val="3"/>
                <c:pt idx="0">
                  <c:v>Tier 1</c:v>
                </c:pt>
                <c:pt idx="1">
                  <c:v>Tier 2</c:v>
                </c:pt>
                <c:pt idx="2">
                  <c:v>Tier 3</c:v>
                </c:pt>
              </c:strCache>
            </c:strRef>
          </c:cat>
          <c:val>
            <c:numRef>
              <c:f>'Pivot Table'!$C$19:$C$21</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F2A-4EFE-BEAE-BFBD72949BE5}"/>
            </c:ext>
          </c:extLst>
        </c:ser>
        <c:dLbls>
          <c:showLegendKey val="0"/>
          <c:showVal val="0"/>
          <c:showCatName val="0"/>
          <c:showSerName val="0"/>
          <c:showPercent val="0"/>
          <c:showBubbleSize val="0"/>
        </c:dLbls>
        <c:gapWidth val="182"/>
        <c:axId val="597763759"/>
        <c:axId val="595666223"/>
      </c:barChart>
      <c:catAx>
        <c:axId val="59776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66223"/>
        <c:crosses val="autoZero"/>
        <c:auto val="1"/>
        <c:lblAlgn val="ctr"/>
        <c:lblOffset val="100"/>
        <c:noMultiLvlLbl val="0"/>
      </c:catAx>
      <c:valAx>
        <c:axId val="59566622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9776375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Table!PivotTable4</c:name>
    <c:fmtId val="13"/>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38987571563737833"/>
          <c:y val="6.7452524316813339E-2"/>
          <c:w val="0.57346440656221431"/>
          <c:h val="0.90045248868778283"/>
        </c:manualLayout>
      </c:layout>
      <c:barChart>
        <c:barDir val="bar"/>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482-4410-A614-73EC60F5AC00}"/>
            </c:ext>
          </c:extLst>
        </c:ser>
        <c:dLbls>
          <c:showLegendKey val="0"/>
          <c:showVal val="0"/>
          <c:showCatName val="0"/>
          <c:showSerName val="0"/>
          <c:showPercent val="0"/>
          <c:showBubbleSize val="0"/>
        </c:dLbls>
        <c:gapWidth val="182"/>
        <c:axId val="916465407"/>
        <c:axId val="980356959"/>
      </c:barChart>
      <c:catAx>
        <c:axId val="91646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56959"/>
        <c:crosses val="autoZero"/>
        <c:auto val="1"/>
        <c:lblAlgn val="ctr"/>
        <c:lblOffset val="100"/>
        <c:noMultiLvlLbl val="0"/>
      </c:catAx>
      <c:valAx>
        <c:axId val="980356959"/>
        <c:scaling>
          <c:orientation val="minMax"/>
        </c:scaling>
        <c:delete val="1"/>
        <c:axPos val="b"/>
        <c:numFmt formatCode="&quot;$&quot;0.0,&quot;K&quot;" sourceLinked="1"/>
        <c:majorTickMark val="none"/>
        <c:minorTickMark val="none"/>
        <c:tickLblPos val="nextTo"/>
        <c:crossAx val="91646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Table!PivotTable5</c:name>
    <c:fmtId val="16"/>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Table'!$B$43</c:f>
              <c:strCache>
                <c:ptCount val="1"/>
                <c:pt idx="0">
                  <c:v>Total</c:v>
                </c:pt>
              </c:strCache>
            </c:strRef>
          </c:tx>
          <c:spPr>
            <a:solidFill>
              <a:schemeClr val="accent1"/>
            </a:solidFill>
            <a:ln>
              <a:noFill/>
            </a:ln>
            <a:effectLst/>
          </c:spPr>
          <c:cat>
            <c:strRef>
              <c:f>'Pivot Table'!$A$44:$A$52</c:f>
              <c:strCache>
                <c:ptCount val="9"/>
                <c:pt idx="0">
                  <c:v>2011</c:v>
                </c:pt>
                <c:pt idx="1">
                  <c:v>2012</c:v>
                </c:pt>
                <c:pt idx="2">
                  <c:v>2014</c:v>
                </c:pt>
                <c:pt idx="3">
                  <c:v>2015</c:v>
                </c:pt>
                <c:pt idx="4">
                  <c:v>2016</c:v>
                </c:pt>
                <c:pt idx="5">
                  <c:v>2017</c:v>
                </c:pt>
                <c:pt idx="6">
                  <c:v>2018</c:v>
                </c:pt>
                <c:pt idx="7">
                  <c:v>2020</c:v>
                </c:pt>
                <c:pt idx="8">
                  <c:v>2022</c:v>
                </c:pt>
              </c:strCache>
            </c:strRef>
          </c:cat>
          <c:val>
            <c:numRef>
              <c:f>'Pivot Table'!$B$44:$B$52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75D-40CB-B5CD-8926093EFF8D}"/>
            </c:ext>
          </c:extLst>
        </c:ser>
        <c:dLbls>
          <c:showLegendKey val="0"/>
          <c:showVal val="0"/>
          <c:showCatName val="0"/>
          <c:showSerName val="0"/>
          <c:showPercent val="0"/>
          <c:showBubbleSize val="0"/>
        </c:dLbls>
        <c:axId val="604052975"/>
        <c:axId val="980367775"/>
      </c:areaChart>
      <c:catAx>
        <c:axId val="604052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67775"/>
        <c:crosses val="autoZero"/>
        <c:auto val="1"/>
        <c:lblAlgn val="ctr"/>
        <c:lblOffset val="100"/>
        <c:noMultiLvlLbl val="0"/>
      </c:catAx>
      <c:valAx>
        <c:axId val="980367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529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Table!PivotTable6</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D5-4FB5-A48F-8AC215F48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D5-4FB5-A48F-8AC215F48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D5-4FB5-A48F-8AC215F482AD}"/>
              </c:ext>
            </c:extLst>
          </c:dPt>
          <c:cat>
            <c:strRef>
              <c:f>'Pivot Table'!$A$57:$A$59</c:f>
              <c:strCache>
                <c:ptCount val="3"/>
                <c:pt idx="0">
                  <c:v>High</c:v>
                </c:pt>
                <c:pt idx="1">
                  <c:v>Medium</c:v>
                </c:pt>
                <c:pt idx="2">
                  <c:v>Small</c:v>
                </c:pt>
              </c:strCache>
            </c:strRef>
          </c:cat>
          <c:val>
            <c:numRef>
              <c:f>'Pivot Table'!$B$57:$B$59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CF8-4A95-82D4-51A6AA1669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Table!PivotTable11</c:name>
    <c:fmtId val="2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Table'!$B$74</c:f>
              <c:strCache>
                <c:ptCount val="1"/>
                <c:pt idx="0">
                  <c:v>Total</c:v>
                </c:pt>
              </c:strCache>
            </c:strRef>
          </c:tx>
          <c:spPr>
            <a:solidFill>
              <a:schemeClr val="accent1"/>
            </a:solidFill>
            <a:ln>
              <a:noFill/>
            </a:ln>
            <a:effectLst/>
          </c:spPr>
          <c:invertIfNegative val="0"/>
          <c:cat>
            <c:strRef>
              <c:f>'Pivot Table'!$A$75:$A$78</c:f>
              <c:strCache>
                <c:ptCount val="4"/>
                <c:pt idx="0">
                  <c:v>Grocery Store</c:v>
                </c:pt>
                <c:pt idx="1">
                  <c:v>Supermarket Type3</c:v>
                </c:pt>
                <c:pt idx="2">
                  <c:v>Supermarket Type2</c:v>
                </c:pt>
                <c:pt idx="3">
                  <c:v>Supermarket Type1</c:v>
                </c:pt>
              </c:strCache>
            </c:strRef>
          </c:cat>
          <c:val>
            <c:numRef>
              <c:f>'Pivot Table'!$B$75:$B$78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F6F-426B-ACDB-9165DC4ECDB9}"/>
            </c:ext>
          </c:extLst>
        </c:ser>
        <c:dLbls>
          <c:showLegendKey val="0"/>
          <c:showVal val="0"/>
          <c:showCatName val="0"/>
          <c:showSerName val="0"/>
          <c:showPercent val="0"/>
          <c:showBubbleSize val="0"/>
        </c:dLbls>
        <c:gapWidth val="182"/>
        <c:axId val="598312511"/>
        <c:axId val="1146773631"/>
      </c:barChart>
      <c:catAx>
        <c:axId val="59831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773631"/>
        <c:crosses val="autoZero"/>
        <c:auto val="1"/>
        <c:lblAlgn val="ctr"/>
        <c:lblOffset val="100"/>
        <c:noMultiLvlLbl val="0"/>
      </c:catAx>
      <c:valAx>
        <c:axId val="1146773631"/>
        <c:scaling>
          <c:orientation val="minMax"/>
        </c:scaling>
        <c:delete val="1"/>
        <c:axPos val="b"/>
        <c:numFmt formatCode="&quot;$&quot;0.0,&quot;K&quot;" sourceLinked="1"/>
        <c:majorTickMark val="none"/>
        <c:minorTickMark val="none"/>
        <c:tickLblPos val="nextTo"/>
        <c:crossAx val="59831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Table!PivotTable12</c:name>
    <c:fmtId val="2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Table'!$B$81</c:f>
              <c:strCache>
                <c:ptCount val="1"/>
                <c:pt idx="0">
                  <c:v>Total</c:v>
                </c:pt>
              </c:strCache>
            </c:strRef>
          </c:tx>
          <c:spPr>
            <a:solidFill>
              <a:schemeClr val="accent1"/>
            </a:solidFill>
            <a:ln>
              <a:noFill/>
            </a:ln>
            <a:effectLst/>
          </c:spPr>
          <c:invertIfNegative val="0"/>
          <c:cat>
            <c:strRef>
              <c:f>'Pivot Table'!$A$82:$A$85</c:f>
              <c:strCache>
                <c:ptCount val="4"/>
                <c:pt idx="0">
                  <c:v>Grocery Store</c:v>
                </c:pt>
                <c:pt idx="1">
                  <c:v>Supermarket Type3</c:v>
                </c:pt>
                <c:pt idx="2">
                  <c:v>Supermarket Type2</c:v>
                </c:pt>
                <c:pt idx="3">
                  <c:v>Supermarket Type1</c:v>
                </c:pt>
              </c:strCache>
            </c:strRef>
          </c:cat>
          <c:val>
            <c:numRef>
              <c:f>'Pivot Table'!$B$82:$B$85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802-40FD-B3C4-86D85A02A39B}"/>
            </c:ext>
          </c:extLst>
        </c:ser>
        <c:dLbls>
          <c:showLegendKey val="0"/>
          <c:showVal val="0"/>
          <c:showCatName val="0"/>
          <c:showSerName val="0"/>
          <c:showPercent val="0"/>
          <c:showBubbleSize val="0"/>
        </c:dLbls>
        <c:gapWidth val="182"/>
        <c:axId val="1147790543"/>
        <c:axId val="1073063119"/>
      </c:barChart>
      <c:catAx>
        <c:axId val="114779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63119"/>
        <c:crosses val="autoZero"/>
        <c:auto val="1"/>
        <c:lblAlgn val="ctr"/>
        <c:lblOffset val="100"/>
        <c:noMultiLvlLbl val="0"/>
      </c:catAx>
      <c:valAx>
        <c:axId val="1073063119"/>
        <c:scaling>
          <c:orientation val="minMax"/>
        </c:scaling>
        <c:delete val="1"/>
        <c:axPos val="b"/>
        <c:numFmt formatCode="&quot;$&quot;0" sourceLinked="1"/>
        <c:majorTickMark val="none"/>
        <c:minorTickMark val="none"/>
        <c:tickLblPos val="nextTo"/>
        <c:crossAx val="114779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Table!PivotTable13</c:name>
    <c:fmtId val="2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Table'!$B$88</c:f>
              <c:strCache>
                <c:ptCount val="1"/>
                <c:pt idx="0">
                  <c:v>Total</c:v>
                </c:pt>
              </c:strCache>
            </c:strRef>
          </c:tx>
          <c:spPr>
            <a:solidFill>
              <a:schemeClr val="accent1"/>
            </a:solidFill>
            <a:ln>
              <a:noFill/>
            </a:ln>
            <a:effectLst/>
          </c:spPr>
          <c:invertIfNegative val="0"/>
          <c:cat>
            <c:strRef>
              <c:f>'Pivot Table'!$A$89:$A$92</c:f>
              <c:strCache>
                <c:ptCount val="4"/>
                <c:pt idx="0">
                  <c:v>Grocery Store</c:v>
                </c:pt>
                <c:pt idx="1">
                  <c:v>Supermarket Type3</c:v>
                </c:pt>
                <c:pt idx="2">
                  <c:v>Supermarket Type2</c:v>
                </c:pt>
                <c:pt idx="3">
                  <c:v>Supermarket Type1</c:v>
                </c:pt>
              </c:strCache>
            </c:strRef>
          </c:cat>
          <c:val>
            <c:numRef>
              <c:f>'Pivot Table'!$B$89:$B$92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C4D-48EC-A2E8-2776422257C1}"/>
            </c:ext>
          </c:extLst>
        </c:ser>
        <c:dLbls>
          <c:showLegendKey val="0"/>
          <c:showVal val="0"/>
          <c:showCatName val="0"/>
          <c:showSerName val="0"/>
          <c:showPercent val="0"/>
          <c:showBubbleSize val="0"/>
        </c:dLbls>
        <c:gapWidth val="182"/>
        <c:axId val="929634623"/>
        <c:axId val="1146776127"/>
      </c:barChart>
      <c:catAx>
        <c:axId val="92963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776127"/>
        <c:crosses val="autoZero"/>
        <c:auto val="1"/>
        <c:lblAlgn val="ctr"/>
        <c:lblOffset val="100"/>
        <c:noMultiLvlLbl val="0"/>
      </c:catAx>
      <c:valAx>
        <c:axId val="1146776127"/>
        <c:scaling>
          <c:orientation val="minMax"/>
        </c:scaling>
        <c:delete val="1"/>
        <c:axPos val="b"/>
        <c:numFmt formatCode="0" sourceLinked="1"/>
        <c:majorTickMark val="none"/>
        <c:minorTickMark val="none"/>
        <c:tickLblPos val="nextTo"/>
        <c:crossAx val="92963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Table!PivotTable2</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2B800"/>
          </a:solidFill>
          <a:ln w="19050">
            <a:solidFill>
              <a:schemeClr val="lt1"/>
            </a:solidFill>
          </a:ln>
          <a:effectLst/>
        </c:spPr>
        <c:dLbl>
          <c:idx val="0"/>
          <c:layout>
            <c:manualLayout>
              <c:x val="0.1524980439434519"/>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122554405604952"/>
                  <c:h val="0.25486905238128227"/>
                </c:manualLayout>
              </c15:layout>
            </c:ext>
          </c:extLst>
        </c:dLbl>
      </c:pivotFmt>
      <c:pivotFmt>
        <c:idx val="6"/>
        <c:spPr>
          <a:solidFill>
            <a:schemeClr val="accent6">
              <a:lumMod val="75000"/>
            </a:schemeClr>
          </a:solidFill>
          <a:ln w="19050">
            <a:solidFill>
              <a:schemeClr val="lt1"/>
            </a:solidFill>
          </a:ln>
          <a:effectLst/>
        </c:spPr>
        <c:dLbl>
          <c:idx val="0"/>
          <c:layout>
            <c:manualLayout>
              <c:x val="-0.10309229758873481"/>
              <c:y val="-1.8921236256962307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513060801674191"/>
                  <c:h val="0.25486905238128227"/>
                </c:manualLayout>
              </c15:layout>
            </c:ext>
          </c:extLst>
        </c:dLbl>
      </c:pivotFmt>
    </c:pivotFmts>
    <c:plotArea>
      <c:layout>
        <c:manualLayout>
          <c:layoutTarget val="inner"/>
          <c:xMode val="edge"/>
          <c:yMode val="edge"/>
          <c:x val="0.25233600809446055"/>
          <c:y val="0.19916240007687683"/>
          <c:w val="0.54306100068396512"/>
          <c:h val="0.77245574553767971"/>
        </c:manualLayout>
      </c:layout>
      <c:doughnutChart>
        <c:varyColors val="1"/>
        <c:ser>
          <c:idx val="0"/>
          <c:order val="0"/>
          <c:tx>
            <c:strRef>
              <c:f>'Pivot Table'!$B$8</c:f>
              <c:strCache>
                <c:ptCount val="1"/>
                <c:pt idx="0">
                  <c:v>Total</c:v>
                </c:pt>
              </c:strCache>
            </c:strRef>
          </c:tx>
          <c:dPt>
            <c:idx val="0"/>
            <c:bubble3D val="0"/>
            <c:spPr>
              <a:solidFill>
                <a:srgbClr val="F2B800"/>
              </a:solidFill>
              <a:ln w="19050">
                <a:solidFill>
                  <a:schemeClr val="lt1"/>
                </a:solidFill>
              </a:ln>
              <a:effectLst/>
            </c:spPr>
            <c:extLst>
              <c:ext xmlns:c16="http://schemas.microsoft.com/office/drawing/2014/chart" uri="{C3380CC4-5D6E-409C-BE32-E72D297353CC}">
                <c16:uniqueId val="{00000001-8447-4FE3-A817-DDC6488CF5F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447-4FE3-A817-DDC6488CF5F0}"/>
              </c:ext>
            </c:extLst>
          </c:dPt>
          <c:dLbls>
            <c:dLbl>
              <c:idx val="0"/>
              <c:layout>
                <c:manualLayout>
                  <c:x val="0.1524980439434519"/>
                  <c:y val="0"/>
                </c:manualLayout>
              </c:layout>
              <c:showLegendKey val="0"/>
              <c:showVal val="0"/>
              <c:showCatName val="0"/>
              <c:showSerName val="0"/>
              <c:showPercent val="1"/>
              <c:showBubbleSize val="0"/>
              <c:extLst>
                <c:ext xmlns:c15="http://schemas.microsoft.com/office/drawing/2012/chart" uri="{CE6537A1-D6FC-4f65-9D91-7224C49458BB}">
                  <c15:layout>
                    <c:manualLayout>
                      <c:w val="0.22122554405604952"/>
                      <c:h val="0.25486905238128227"/>
                    </c:manualLayout>
                  </c15:layout>
                </c:ext>
                <c:ext xmlns:c16="http://schemas.microsoft.com/office/drawing/2014/chart" uri="{C3380CC4-5D6E-409C-BE32-E72D297353CC}">
                  <c16:uniqueId val="{00000001-8447-4FE3-A817-DDC6488CF5F0}"/>
                </c:ext>
              </c:extLst>
            </c:dLbl>
            <c:dLbl>
              <c:idx val="1"/>
              <c:layout>
                <c:manualLayout>
                  <c:x val="-0.10309229758873481"/>
                  <c:y val="-1.8921236256962307E-2"/>
                </c:manualLayout>
              </c:layout>
              <c:showLegendKey val="0"/>
              <c:showVal val="0"/>
              <c:showCatName val="0"/>
              <c:showSerName val="0"/>
              <c:showPercent val="1"/>
              <c:showBubbleSize val="0"/>
              <c:extLst>
                <c:ext xmlns:c15="http://schemas.microsoft.com/office/drawing/2012/chart" uri="{CE6537A1-D6FC-4f65-9D91-7224C49458BB}">
                  <c15:layout>
                    <c:manualLayout>
                      <c:w val="0.21513060801674191"/>
                      <c:h val="0.25486905238128227"/>
                    </c:manualLayout>
                  </c15:layout>
                </c:ext>
                <c:ext xmlns:c16="http://schemas.microsoft.com/office/drawing/2014/chart" uri="{C3380CC4-5D6E-409C-BE32-E72D297353CC}">
                  <c16:uniqueId val="{00000003-8447-4FE3-A817-DDC6488CF5F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Table'!$A$9:$A$10</c:f>
              <c:strCache>
                <c:ptCount val="2"/>
                <c:pt idx="0">
                  <c:v>Low Fat</c:v>
                </c:pt>
                <c:pt idx="1">
                  <c:v>Regular</c:v>
                </c:pt>
              </c:strCache>
            </c:strRef>
          </c:cat>
          <c:val>
            <c:numRef>
              <c:f>'Pivot Table'!$B$9:$B$10</c:f>
              <c:numCache>
                <c:formatCode>General</c:formatCode>
                <c:ptCount val="2"/>
                <c:pt idx="0">
                  <c:v>776319.68840000057</c:v>
                </c:pt>
                <c:pt idx="1">
                  <c:v>425361.8043999995</c:v>
                </c:pt>
              </c:numCache>
            </c:numRef>
          </c:val>
          <c:extLst>
            <c:ext xmlns:c16="http://schemas.microsoft.com/office/drawing/2014/chart" uri="{C3380CC4-5D6E-409C-BE32-E72D297353CC}">
              <c16:uniqueId val="{00000004-8447-4FE3-A817-DDC6488CF5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Table!PivotTable3</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2B800"/>
          </a:solidFill>
          <a:ln>
            <a:noFill/>
          </a:ln>
          <a:effectLst/>
        </c:spPr>
        <c:marker>
          <c:symbol val="none"/>
        </c:marker>
      </c:pivotFmt>
      <c:pivotFmt>
        <c:idx val="5"/>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71675688372325"/>
          <c:y val="0.19708916490889788"/>
          <c:w val="0.71854271081939025"/>
          <c:h val="0.75273246335632271"/>
        </c:manualLayout>
      </c:layout>
      <c:barChart>
        <c:barDir val="bar"/>
        <c:grouping val="clustered"/>
        <c:varyColors val="0"/>
        <c:ser>
          <c:idx val="0"/>
          <c:order val="0"/>
          <c:tx>
            <c:strRef>
              <c:f>'Pivot Table'!$B$17:$B$18</c:f>
              <c:strCache>
                <c:ptCount val="1"/>
                <c:pt idx="0">
                  <c:v>Regular</c:v>
                </c:pt>
              </c:strCache>
            </c:strRef>
          </c:tx>
          <c:spPr>
            <a:solidFill>
              <a:srgbClr val="F2B800"/>
            </a:solidFill>
            <a:ln>
              <a:noFill/>
            </a:ln>
            <a:effectLst/>
          </c:spPr>
          <c:invertIfNegative val="0"/>
          <c:cat>
            <c:strRef>
              <c:f>'Pivot Table'!$A$19:$A$21</c:f>
              <c:strCache>
                <c:ptCount val="3"/>
                <c:pt idx="0">
                  <c:v>Tier 1</c:v>
                </c:pt>
                <c:pt idx="1">
                  <c:v>Tier 2</c:v>
                </c:pt>
                <c:pt idx="2">
                  <c:v>Tier 3</c:v>
                </c:pt>
              </c:strCache>
            </c:strRef>
          </c:cat>
          <c:val>
            <c:numRef>
              <c:f>'Pivot Table'!$B$19:$B$21</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9E2E-4AFC-94DC-13871DAB48F9}"/>
            </c:ext>
          </c:extLst>
        </c:ser>
        <c:ser>
          <c:idx val="1"/>
          <c:order val="1"/>
          <c:tx>
            <c:strRef>
              <c:f>'Pivot Table'!$C$17:$C$18</c:f>
              <c:strCache>
                <c:ptCount val="1"/>
                <c:pt idx="0">
                  <c:v>Low Fat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9E2E-4AFC-94DC-13871DAB48F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E2E-4AFC-94DC-13871DAB48F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9E2E-4AFC-94DC-13871DAB48F9}"/>
              </c:ext>
            </c:extLst>
          </c:dPt>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Table'!$A$19:$A$21</c:f>
              <c:strCache>
                <c:ptCount val="3"/>
                <c:pt idx="0">
                  <c:v>Tier 1</c:v>
                </c:pt>
                <c:pt idx="1">
                  <c:v>Tier 2</c:v>
                </c:pt>
                <c:pt idx="2">
                  <c:v>Tier 3</c:v>
                </c:pt>
              </c:strCache>
            </c:strRef>
          </c:cat>
          <c:val>
            <c:numRef>
              <c:f>'Pivot Table'!$C$19:$C$21</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E2E-4AFC-94DC-13871DAB48F9}"/>
            </c:ext>
          </c:extLst>
        </c:ser>
        <c:dLbls>
          <c:showLegendKey val="0"/>
          <c:showVal val="0"/>
          <c:showCatName val="0"/>
          <c:showSerName val="0"/>
          <c:showPercent val="0"/>
          <c:showBubbleSize val="0"/>
        </c:dLbls>
        <c:gapWidth val="60"/>
        <c:axId val="597763759"/>
        <c:axId val="595666223"/>
      </c:barChart>
      <c:catAx>
        <c:axId val="59776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66223"/>
        <c:crosses val="autoZero"/>
        <c:auto val="1"/>
        <c:lblAlgn val="ctr"/>
        <c:lblOffset val="100"/>
        <c:noMultiLvlLbl val="0"/>
      </c:catAx>
      <c:valAx>
        <c:axId val="59566622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9776375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Table!PivotTable4</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59595165925759"/>
          <c:y val="3.5614921499599973E-2"/>
          <c:w val="0.49763146681333692"/>
          <c:h val="0.92877015700080001"/>
        </c:manualLayout>
      </c:layout>
      <c:barChart>
        <c:barDir val="bar"/>
        <c:grouping val="clustered"/>
        <c:varyColors val="0"/>
        <c:ser>
          <c:idx val="0"/>
          <c:order val="0"/>
          <c:tx>
            <c:strRef>
              <c:f>'Pivot Table'!$B$24</c:f>
              <c:strCache>
                <c:ptCount val="1"/>
                <c:pt idx="0">
                  <c:v>Total</c:v>
                </c:pt>
              </c:strCache>
            </c:strRef>
          </c:tx>
          <c:spPr>
            <a:solidFill>
              <a:srgbClr val="F2B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Table'!$A$25:$A$40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Table'!$B$25:$B$40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031-405D-978A-3274ECE74F38}"/>
            </c:ext>
          </c:extLst>
        </c:ser>
        <c:dLbls>
          <c:showLegendKey val="0"/>
          <c:showVal val="0"/>
          <c:showCatName val="0"/>
          <c:showSerName val="0"/>
          <c:showPercent val="0"/>
          <c:showBubbleSize val="0"/>
        </c:dLbls>
        <c:gapWidth val="50"/>
        <c:axId val="916465407"/>
        <c:axId val="980356959"/>
      </c:barChart>
      <c:catAx>
        <c:axId val="91646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0356959"/>
        <c:crosses val="autoZero"/>
        <c:auto val="1"/>
        <c:lblAlgn val="ctr"/>
        <c:lblOffset val="100"/>
        <c:noMultiLvlLbl val="0"/>
      </c:catAx>
      <c:valAx>
        <c:axId val="980356959"/>
        <c:scaling>
          <c:orientation val="minMax"/>
        </c:scaling>
        <c:delete val="1"/>
        <c:axPos val="b"/>
        <c:numFmt formatCode="&quot;$&quot;0.0,&quot;K&quot;" sourceLinked="1"/>
        <c:majorTickMark val="none"/>
        <c:minorTickMark val="none"/>
        <c:tickLblPos val="nextTo"/>
        <c:crossAx val="91646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Table!PivotTable5</c:name>
    <c:fmtId val="18"/>
  </c:pivotSource>
  <c:chart>
    <c:autoTitleDeleted val="1"/>
    <c:pivotFmts>
      <c:pivotFmt>
        <c:idx val="0"/>
      </c:pivotFmt>
      <c:pivotFmt>
        <c:idx val="1"/>
      </c:pivotFmt>
      <c:pivotFmt>
        <c:idx val="2"/>
        <c:spPr>
          <a:solidFill>
            <a:srgbClr val="F2B8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0"/>
              <c:y val="-0.25666676771657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0"/>
              <c:y val="-0.216140435971852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3.067729179901728E-3"/>
              <c:y val="-0.24991237909245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5.6241051930101575E-17"/>
              <c:y val="-0.24991237909245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5.6241051930101575E-17"/>
              <c:y val="-0.24991237909245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3.0677291799018967E-3"/>
              <c:y val="-0.33096504258189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3.0677291799017844E-3"/>
              <c:y val="-0.3579825970783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3.0677291799017844E-3"/>
              <c:y val="-0.33771943120602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B800">
              <a:alpha val="80000"/>
            </a:srgbClr>
          </a:solidFill>
          <a:ln w="25400">
            <a:solidFill>
              <a:schemeClr val="tx1"/>
            </a:solidFill>
          </a:ln>
          <a:effectLst>
            <a:innerShdw dist="12700" dir="16200000">
              <a:schemeClr val="lt1">
                <a:alpha val="75000"/>
              </a:schemeClr>
            </a:innerShdw>
          </a:effectLst>
        </c:spPr>
        <c:dLbl>
          <c:idx val="0"/>
          <c:layout>
            <c:manualLayout>
              <c:x val="0"/>
              <c:y val="-0.25666676771657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84065200114982E-2"/>
          <c:y val="7.4298274865324407E-2"/>
          <c:w val="0.90723186959977009"/>
          <c:h val="0.76901160957080916"/>
        </c:manualLayout>
      </c:layout>
      <c:areaChart>
        <c:grouping val="standard"/>
        <c:varyColors val="0"/>
        <c:ser>
          <c:idx val="0"/>
          <c:order val="0"/>
          <c:tx>
            <c:strRef>
              <c:f>'Pivot Table'!$B$43</c:f>
              <c:strCache>
                <c:ptCount val="1"/>
                <c:pt idx="0">
                  <c:v>Total</c:v>
                </c:pt>
              </c:strCache>
            </c:strRef>
          </c:tx>
          <c:spPr>
            <a:solidFill>
              <a:srgbClr val="F2B8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5CB7-491B-8690-315CCE6ADCDF}"/>
              </c:ext>
            </c:extLst>
          </c:dPt>
          <c:dPt>
            <c:idx val="1"/>
            <c:bubble3D val="0"/>
            <c:extLst>
              <c:ext xmlns:c16="http://schemas.microsoft.com/office/drawing/2014/chart" uri="{C3380CC4-5D6E-409C-BE32-E72D297353CC}">
                <c16:uniqueId val="{00000001-5CB7-491B-8690-315CCE6ADCDF}"/>
              </c:ext>
            </c:extLst>
          </c:dPt>
          <c:dPt>
            <c:idx val="2"/>
            <c:bubble3D val="0"/>
            <c:extLst>
              <c:ext xmlns:c16="http://schemas.microsoft.com/office/drawing/2014/chart" uri="{C3380CC4-5D6E-409C-BE32-E72D297353CC}">
                <c16:uniqueId val="{00000003-5CB7-491B-8690-315CCE6ADCDF}"/>
              </c:ext>
            </c:extLst>
          </c:dPt>
          <c:dPt>
            <c:idx val="3"/>
            <c:bubble3D val="0"/>
            <c:extLst>
              <c:ext xmlns:c16="http://schemas.microsoft.com/office/drawing/2014/chart" uri="{C3380CC4-5D6E-409C-BE32-E72D297353CC}">
                <c16:uniqueId val="{00000004-5CB7-491B-8690-315CCE6ADCDF}"/>
              </c:ext>
            </c:extLst>
          </c:dPt>
          <c:dPt>
            <c:idx val="4"/>
            <c:bubble3D val="0"/>
            <c:extLst>
              <c:ext xmlns:c16="http://schemas.microsoft.com/office/drawing/2014/chart" uri="{C3380CC4-5D6E-409C-BE32-E72D297353CC}">
                <c16:uniqueId val="{00000005-5CB7-491B-8690-315CCE6ADCDF}"/>
              </c:ext>
            </c:extLst>
          </c:dPt>
          <c:dPt>
            <c:idx val="5"/>
            <c:bubble3D val="0"/>
            <c:extLst>
              <c:ext xmlns:c16="http://schemas.microsoft.com/office/drawing/2014/chart" uri="{C3380CC4-5D6E-409C-BE32-E72D297353CC}">
                <c16:uniqueId val="{00000006-5CB7-491B-8690-315CCE6ADCDF}"/>
              </c:ext>
            </c:extLst>
          </c:dPt>
          <c:dPt>
            <c:idx val="6"/>
            <c:bubble3D val="0"/>
            <c:extLst>
              <c:ext xmlns:c16="http://schemas.microsoft.com/office/drawing/2014/chart" uri="{C3380CC4-5D6E-409C-BE32-E72D297353CC}">
                <c16:uniqueId val="{00000007-5CB7-491B-8690-315CCE6ADCDF}"/>
              </c:ext>
            </c:extLst>
          </c:dPt>
          <c:dPt>
            <c:idx val="7"/>
            <c:bubble3D val="0"/>
            <c:extLst>
              <c:ext xmlns:c16="http://schemas.microsoft.com/office/drawing/2014/chart" uri="{C3380CC4-5D6E-409C-BE32-E72D297353CC}">
                <c16:uniqueId val="{00000008-5CB7-491B-8690-315CCE6ADCDF}"/>
              </c:ext>
            </c:extLst>
          </c:dPt>
          <c:dPt>
            <c:idx val="8"/>
            <c:bubble3D val="0"/>
            <c:extLst>
              <c:ext xmlns:c16="http://schemas.microsoft.com/office/drawing/2014/chart" uri="{C3380CC4-5D6E-409C-BE32-E72D297353CC}">
                <c16:uniqueId val="{00000009-5CB7-491B-8690-315CCE6ADCDF}"/>
              </c:ext>
            </c:extLst>
          </c:dPt>
          <c:dLbls>
            <c:dLbl>
              <c:idx val="0"/>
              <c:layout>
                <c:manualLayout>
                  <c:x val="0"/>
                  <c:y val="-0.21614043597185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B7-491B-8690-315CCE6ADCDF}"/>
                </c:ext>
              </c:extLst>
            </c:dLbl>
            <c:dLbl>
              <c:idx val="1"/>
              <c:layout>
                <c:manualLayout>
                  <c:x val="0"/>
                  <c:y val="-0.25666676771657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B7-491B-8690-315CCE6ADCDF}"/>
                </c:ext>
              </c:extLst>
            </c:dLbl>
            <c:dLbl>
              <c:idx val="2"/>
              <c:layout>
                <c:manualLayout>
                  <c:x val="3.067729179901728E-3"/>
                  <c:y val="-0.249912379092454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B7-491B-8690-315CCE6ADCDF}"/>
                </c:ext>
              </c:extLst>
            </c:dLbl>
            <c:dLbl>
              <c:idx val="3"/>
              <c:layout>
                <c:manualLayout>
                  <c:x val="-5.6241051930101575E-17"/>
                  <c:y val="-0.249912379092454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B7-491B-8690-315CCE6ADCDF}"/>
                </c:ext>
              </c:extLst>
            </c:dLbl>
            <c:dLbl>
              <c:idx val="4"/>
              <c:layout>
                <c:manualLayout>
                  <c:x val="-5.6241051930101575E-17"/>
                  <c:y val="-0.249912379092454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B7-491B-8690-315CCE6ADCDF}"/>
                </c:ext>
              </c:extLst>
            </c:dLbl>
            <c:dLbl>
              <c:idx val="5"/>
              <c:layout>
                <c:manualLayout>
                  <c:x val="-3.0677291799018967E-3"/>
                  <c:y val="-0.330965042581899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B7-491B-8690-315CCE6ADCDF}"/>
                </c:ext>
              </c:extLst>
            </c:dLbl>
            <c:dLbl>
              <c:idx val="6"/>
              <c:layout>
                <c:manualLayout>
                  <c:x val="-3.0677291799017844E-3"/>
                  <c:y val="-0.3579825970783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B7-491B-8690-315CCE6ADCDF}"/>
                </c:ext>
              </c:extLst>
            </c:dLbl>
            <c:dLbl>
              <c:idx val="7"/>
              <c:layout>
                <c:manualLayout>
                  <c:x val="3.0677291799017844E-3"/>
                  <c:y val="-0.33771943120602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B7-491B-8690-315CCE6ADCDF}"/>
                </c:ext>
              </c:extLst>
            </c:dLbl>
            <c:dLbl>
              <c:idx val="8"/>
              <c:layout>
                <c:manualLayout>
                  <c:x val="0"/>
                  <c:y val="-0.25666676771657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B7-491B-8690-315CCE6ADC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Table'!$A$44:$A$52</c:f>
              <c:strCache>
                <c:ptCount val="9"/>
                <c:pt idx="0">
                  <c:v>2011</c:v>
                </c:pt>
                <c:pt idx="1">
                  <c:v>2012</c:v>
                </c:pt>
                <c:pt idx="2">
                  <c:v>2014</c:v>
                </c:pt>
                <c:pt idx="3">
                  <c:v>2015</c:v>
                </c:pt>
                <c:pt idx="4">
                  <c:v>2016</c:v>
                </c:pt>
                <c:pt idx="5">
                  <c:v>2017</c:v>
                </c:pt>
                <c:pt idx="6">
                  <c:v>2018</c:v>
                </c:pt>
                <c:pt idx="7">
                  <c:v>2020</c:v>
                </c:pt>
                <c:pt idx="8">
                  <c:v>2022</c:v>
                </c:pt>
              </c:strCache>
            </c:strRef>
          </c:cat>
          <c:val>
            <c:numRef>
              <c:f>'Pivot Table'!$B$44:$B$52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CB7-491B-8690-315CCE6ADCDF}"/>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604052975"/>
        <c:axId val="980367775"/>
      </c:areaChart>
      <c:catAx>
        <c:axId val="6040529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980367775"/>
        <c:crosses val="autoZero"/>
        <c:auto val="1"/>
        <c:lblAlgn val="ctr"/>
        <c:lblOffset val="100"/>
        <c:noMultiLvlLbl val="0"/>
      </c:catAx>
      <c:valAx>
        <c:axId val="980367775"/>
        <c:scaling>
          <c:orientation val="minMax"/>
        </c:scaling>
        <c:delete val="1"/>
        <c:axPos val="l"/>
        <c:numFmt formatCode="&quot;$&quot;0.0,&quot;K&quot;" sourceLinked="1"/>
        <c:majorTickMark val="out"/>
        <c:minorTickMark val="none"/>
        <c:tickLblPos val="nextTo"/>
        <c:crossAx val="6040529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Table!PivotTable6</c:name>
    <c:fmtId val="2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50000"/>
            </a:schemeClr>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3894768272752761"/>
              <c:y val="-7.035530351573393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4198442311505783"/>
                  <c:h val="0.19519688097643068"/>
                </c:manualLayout>
              </c15:layout>
            </c:ext>
          </c:extLst>
        </c:dLbl>
      </c:pivotFmt>
      <c:pivotFmt>
        <c:idx val="7"/>
        <c:spPr>
          <a:solidFill>
            <a:schemeClr val="accent6">
              <a:lumMod val="75000"/>
            </a:schemeClr>
          </a:solidFill>
          <a:ln w="19050">
            <a:solidFill>
              <a:schemeClr val="lt1"/>
            </a:solidFill>
          </a:ln>
          <a:effectLst/>
        </c:spPr>
        <c:dLbl>
          <c:idx val="0"/>
          <c:layout>
            <c:manualLayout>
              <c:x val="0.17947379577732839"/>
              <c:y val="-1.4331470342984851E-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08965028366162"/>
                  <c:h val="0.19519688097643068"/>
                </c:manualLayout>
              </c15:layout>
            </c:ext>
          </c:extLst>
        </c:dLbl>
      </c:pivotFmt>
      <c:pivotFmt>
        <c:idx val="8"/>
        <c:spPr>
          <a:solidFill>
            <a:srgbClr val="F2B800"/>
          </a:solidFill>
          <a:ln w="19050">
            <a:solidFill>
              <a:schemeClr val="lt1"/>
            </a:solidFill>
          </a:ln>
          <a:effectLst/>
        </c:spPr>
        <c:dLbl>
          <c:idx val="0"/>
          <c:layout>
            <c:manualLayout>
              <c:x val="-0.10131608038712001"/>
              <c:y val="-0.1485278629776604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198435473540491"/>
                  <c:h val="0.19519688097643068"/>
                </c:manualLayout>
              </c15:layout>
            </c:ext>
          </c:extLst>
        </c:dLbl>
      </c:pivotFmt>
      <c:pivotFmt>
        <c:idx val="9"/>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18761097447843419"/>
          <c:y val="0.1676062762101205"/>
          <c:w val="0.65372543745882972"/>
          <c:h val="0.83239372378987952"/>
        </c:manualLayout>
      </c:layout>
      <c:doughnutChart>
        <c:varyColors val="1"/>
        <c:ser>
          <c:idx val="0"/>
          <c:order val="0"/>
          <c:tx>
            <c:strRef>
              <c:f>'Pivot Table'!$B$56</c:f>
              <c:strCache>
                <c:ptCount val="1"/>
                <c:pt idx="0">
                  <c:v>Total</c:v>
                </c:pt>
              </c:strCache>
            </c:strRef>
          </c:tx>
          <c:spPr>
            <a:solidFill>
              <a:schemeClr val="accent6">
                <a:lumMod val="50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0953-4696-A872-EB3A21234E0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953-4696-A872-EB3A21234E03}"/>
              </c:ext>
            </c:extLst>
          </c:dPt>
          <c:dPt>
            <c:idx val="2"/>
            <c:bubble3D val="0"/>
            <c:spPr>
              <a:solidFill>
                <a:srgbClr val="F2B800"/>
              </a:solidFill>
              <a:ln w="19050">
                <a:solidFill>
                  <a:schemeClr val="lt1"/>
                </a:solidFill>
              </a:ln>
              <a:effectLst/>
            </c:spPr>
            <c:extLst>
              <c:ext xmlns:c16="http://schemas.microsoft.com/office/drawing/2014/chart" uri="{C3380CC4-5D6E-409C-BE32-E72D297353CC}">
                <c16:uniqueId val="{00000005-0953-4696-A872-EB3A21234E03}"/>
              </c:ext>
            </c:extLst>
          </c:dPt>
          <c:dLbls>
            <c:dLbl>
              <c:idx val="0"/>
              <c:layout>
                <c:manualLayout>
                  <c:x val="0.13894768272752761"/>
                  <c:y val="-7.0355303515733936E-2"/>
                </c:manualLayout>
              </c:layout>
              <c:showLegendKey val="0"/>
              <c:showVal val="0"/>
              <c:showCatName val="0"/>
              <c:showSerName val="0"/>
              <c:showPercent val="1"/>
              <c:showBubbleSize val="0"/>
              <c:extLst>
                <c:ext xmlns:c15="http://schemas.microsoft.com/office/drawing/2012/chart" uri="{CE6537A1-D6FC-4f65-9D91-7224C49458BB}">
                  <c15:layout>
                    <c:manualLayout>
                      <c:w val="0.34198442311505783"/>
                      <c:h val="0.19519688097643068"/>
                    </c:manualLayout>
                  </c15:layout>
                </c:ext>
                <c:ext xmlns:c16="http://schemas.microsoft.com/office/drawing/2014/chart" uri="{C3380CC4-5D6E-409C-BE32-E72D297353CC}">
                  <c16:uniqueId val="{00000001-0953-4696-A872-EB3A21234E03}"/>
                </c:ext>
              </c:extLst>
            </c:dLbl>
            <c:dLbl>
              <c:idx val="1"/>
              <c:layout>
                <c:manualLayout>
                  <c:x val="0.17947379577732839"/>
                  <c:y val="-1.4331470342984851E-16"/>
                </c:manualLayout>
              </c:layout>
              <c:showLegendKey val="0"/>
              <c:showVal val="0"/>
              <c:showCatName val="0"/>
              <c:showSerName val="0"/>
              <c:showPercent val="1"/>
              <c:showBubbleSize val="0"/>
              <c:extLst>
                <c:ext xmlns:c15="http://schemas.microsoft.com/office/drawing/2012/chart" uri="{CE6537A1-D6FC-4f65-9D91-7224C49458BB}">
                  <c15:layout>
                    <c:manualLayout>
                      <c:w val="0.28408965028366162"/>
                      <c:h val="0.19519688097643068"/>
                    </c:manualLayout>
                  </c15:layout>
                </c:ext>
                <c:ext xmlns:c16="http://schemas.microsoft.com/office/drawing/2014/chart" uri="{C3380CC4-5D6E-409C-BE32-E72D297353CC}">
                  <c16:uniqueId val="{00000003-0953-4696-A872-EB3A21234E03}"/>
                </c:ext>
              </c:extLst>
            </c:dLbl>
            <c:dLbl>
              <c:idx val="2"/>
              <c:layout>
                <c:manualLayout>
                  <c:x val="-0.10131608038712001"/>
                  <c:y val="-0.14852786297766049"/>
                </c:manualLayout>
              </c:layout>
              <c:showLegendKey val="0"/>
              <c:showVal val="0"/>
              <c:showCatName val="0"/>
              <c:showSerName val="0"/>
              <c:showPercent val="1"/>
              <c:showBubbleSize val="0"/>
              <c:extLst>
                <c:ext xmlns:c15="http://schemas.microsoft.com/office/drawing/2012/chart" uri="{CE6537A1-D6FC-4f65-9D91-7224C49458BB}">
                  <c15:layout>
                    <c:manualLayout>
                      <c:w val="0.23198435473540491"/>
                      <c:h val="0.19519688097643068"/>
                    </c:manualLayout>
                  </c15:layout>
                </c:ext>
                <c:ext xmlns:c16="http://schemas.microsoft.com/office/drawing/2014/chart" uri="{C3380CC4-5D6E-409C-BE32-E72D297353CC}">
                  <c16:uniqueId val="{00000005-0953-4696-A872-EB3A21234E0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Table'!$A$57:$A$59</c:f>
              <c:strCache>
                <c:ptCount val="3"/>
                <c:pt idx="0">
                  <c:v>High</c:v>
                </c:pt>
                <c:pt idx="1">
                  <c:v>Medium</c:v>
                </c:pt>
                <c:pt idx="2">
                  <c:v>Small</c:v>
                </c:pt>
              </c:strCache>
            </c:strRef>
          </c:cat>
          <c:val>
            <c:numRef>
              <c:f>'Pivot Table'!$B$57:$B$59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953-4696-A872-EB3A21234E03}"/>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Table!PivotTable11</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3888888888888889E-3"/>
              <c:y val="-1.098901098901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16447944007"/>
                  <c:h val="0.29604395604395606"/>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85739282589679"/>
          <c:y val="0.12087912087912088"/>
          <c:w val="0.40803149606299216"/>
          <c:h val="0.86607856710218911"/>
        </c:manualLayout>
      </c:layout>
      <c:barChart>
        <c:barDir val="bar"/>
        <c:grouping val="clustered"/>
        <c:varyColors val="0"/>
        <c:ser>
          <c:idx val="0"/>
          <c:order val="0"/>
          <c:tx>
            <c:strRef>
              <c:f>'Pivot Table'!$B$74</c:f>
              <c:strCache>
                <c:ptCount val="1"/>
                <c:pt idx="0">
                  <c:v>Total</c:v>
                </c:pt>
              </c:strCache>
            </c:strRef>
          </c:tx>
          <c:spPr>
            <a:solidFill>
              <a:schemeClr val="accent2">
                <a:lumMod val="75000"/>
              </a:schemeClr>
            </a:solidFill>
            <a:ln>
              <a:noFill/>
            </a:ln>
            <a:effectLst/>
          </c:spPr>
          <c:invertIfNegative val="0"/>
          <c:dPt>
            <c:idx val="1"/>
            <c:invertIfNegative val="0"/>
            <c:bubble3D val="0"/>
            <c:extLst>
              <c:ext xmlns:c16="http://schemas.microsoft.com/office/drawing/2014/chart" uri="{C3380CC4-5D6E-409C-BE32-E72D297353CC}">
                <c16:uniqueId val="{00000002-FA5E-4463-A17E-AA63720273D4}"/>
              </c:ext>
            </c:extLst>
          </c:dPt>
          <c:dPt>
            <c:idx val="3"/>
            <c:invertIfNegative val="0"/>
            <c:bubble3D val="0"/>
            <c:extLst>
              <c:ext xmlns:c16="http://schemas.microsoft.com/office/drawing/2014/chart" uri="{C3380CC4-5D6E-409C-BE32-E72D297353CC}">
                <c16:uniqueId val="{00000001-FA5E-4463-A17E-AA63720273D4}"/>
              </c:ext>
            </c:extLst>
          </c:dPt>
          <c:dLbls>
            <c:dLbl>
              <c:idx val="3"/>
              <c:layout>
                <c:manualLayout>
                  <c:x val="-1.3888888888888889E-3"/>
                  <c:y val="-1.09890109890109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3916447944007"/>
                      <c:h val="0.29604395604395606"/>
                    </c:manualLayout>
                  </c15:layout>
                </c:ext>
                <c:ext xmlns:c16="http://schemas.microsoft.com/office/drawing/2014/chart" uri="{C3380CC4-5D6E-409C-BE32-E72D297353CC}">
                  <c16:uniqueId val="{00000001-FA5E-4463-A17E-AA63720273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Table'!$A$75:$A$78</c:f>
              <c:strCache>
                <c:ptCount val="4"/>
                <c:pt idx="0">
                  <c:v>Grocery Store</c:v>
                </c:pt>
                <c:pt idx="1">
                  <c:v>Supermarket Type3</c:v>
                </c:pt>
                <c:pt idx="2">
                  <c:v>Supermarket Type2</c:v>
                </c:pt>
                <c:pt idx="3">
                  <c:v>Supermarket Type1</c:v>
                </c:pt>
              </c:strCache>
            </c:strRef>
          </c:cat>
          <c:val>
            <c:numRef>
              <c:f>'Pivot Table'!$B$75:$B$78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A5E-4463-A17E-AA63720273D4}"/>
            </c:ext>
          </c:extLst>
        </c:ser>
        <c:dLbls>
          <c:showLegendKey val="0"/>
          <c:showVal val="0"/>
          <c:showCatName val="0"/>
          <c:showSerName val="0"/>
          <c:showPercent val="0"/>
          <c:showBubbleSize val="0"/>
        </c:dLbls>
        <c:gapWidth val="60"/>
        <c:axId val="598312511"/>
        <c:axId val="1146773631"/>
      </c:barChart>
      <c:catAx>
        <c:axId val="59831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773631"/>
        <c:crosses val="autoZero"/>
        <c:auto val="1"/>
        <c:lblAlgn val="ctr"/>
        <c:lblOffset val="100"/>
        <c:noMultiLvlLbl val="0"/>
      </c:catAx>
      <c:valAx>
        <c:axId val="1146773631"/>
        <c:scaling>
          <c:orientation val="minMax"/>
        </c:scaling>
        <c:delete val="1"/>
        <c:axPos val="b"/>
        <c:numFmt formatCode="&quot;$&quot;0.0,&quot;K&quot;" sourceLinked="1"/>
        <c:majorTickMark val="none"/>
        <c:minorTickMark val="none"/>
        <c:tickLblPos val="nextTo"/>
        <c:crossAx val="59831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Table!PivotTable12</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24546156313586E-2"/>
          <c:y val="0"/>
          <c:w val="0.32007528179193728"/>
          <c:h val="0.92244606337439006"/>
        </c:manualLayout>
      </c:layout>
      <c:barChart>
        <c:barDir val="bar"/>
        <c:grouping val="clustered"/>
        <c:varyColors val="0"/>
        <c:ser>
          <c:idx val="0"/>
          <c:order val="0"/>
          <c:tx>
            <c:strRef>
              <c:f>'Pivot Table'!$B$81</c:f>
              <c:strCache>
                <c:ptCount val="1"/>
                <c:pt idx="0">
                  <c:v>Total</c:v>
                </c:pt>
              </c:strCache>
            </c:strRef>
          </c:tx>
          <c:spPr>
            <a:solidFill>
              <a:srgbClr val="F2B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4"/>
                <c:pt idx="0">
                  <c:v>Grocery Store</c:v>
                </c:pt>
                <c:pt idx="1">
                  <c:v>Supermarket Type3</c:v>
                </c:pt>
                <c:pt idx="2">
                  <c:v>Supermarket Type2</c:v>
                </c:pt>
                <c:pt idx="3">
                  <c:v>Supermarket Type1</c:v>
                </c:pt>
              </c:strCache>
            </c:strRef>
          </c:cat>
          <c:val>
            <c:numRef>
              <c:f>'Pivot Table'!$B$82:$B$85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DCA-402B-B978-AA090608BCF4}"/>
            </c:ext>
          </c:extLst>
        </c:ser>
        <c:dLbls>
          <c:dLblPos val="outEnd"/>
          <c:showLegendKey val="0"/>
          <c:showVal val="1"/>
          <c:showCatName val="0"/>
          <c:showSerName val="0"/>
          <c:showPercent val="0"/>
          <c:showBubbleSize val="0"/>
        </c:dLbls>
        <c:gapWidth val="60"/>
        <c:axId val="1147790543"/>
        <c:axId val="1073063119"/>
      </c:barChart>
      <c:catAx>
        <c:axId val="1147790543"/>
        <c:scaling>
          <c:orientation val="minMax"/>
        </c:scaling>
        <c:delete val="1"/>
        <c:axPos val="l"/>
        <c:numFmt formatCode="General" sourceLinked="1"/>
        <c:majorTickMark val="none"/>
        <c:minorTickMark val="none"/>
        <c:tickLblPos val="nextTo"/>
        <c:crossAx val="1073063119"/>
        <c:crosses val="autoZero"/>
        <c:auto val="1"/>
        <c:lblAlgn val="ctr"/>
        <c:lblOffset val="100"/>
        <c:noMultiLvlLbl val="0"/>
      </c:catAx>
      <c:valAx>
        <c:axId val="1073063119"/>
        <c:scaling>
          <c:orientation val="minMax"/>
        </c:scaling>
        <c:delete val="1"/>
        <c:axPos val="b"/>
        <c:numFmt formatCode="&quot;$&quot;0" sourceLinked="1"/>
        <c:majorTickMark val="none"/>
        <c:minorTickMark val="none"/>
        <c:tickLblPos val="nextTo"/>
        <c:crossAx val="114779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Table!PivotTable13</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5288842875835"/>
          <c:y val="0.11518324607329843"/>
          <c:w val="0.85764711157124163"/>
          <c:h val="0.76963350785340312"/>
        </c:manualLayout>
      </c:layout>
      <c:barChart>
        <c:barDir val="bar"/>
        <c:grouping val="clustered"/>
        <c:varyColors val="0"/>
        <c:ser>
          <c:idx val="0"/>
          <c:order val="0"/>
          <c:tx>
            <c:strRef>
              <c:f>'Pivot Table'!$B$88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ADBB-44FD-81ED-4BF717FA0004}"/>
              </c:ext>
            </c:extLst>
          </c:dPt>
          <c:dPt>
            <c:idx val="1"/>
            <c:invertIfNegative val="0"/>
            <c:bubble3D val="0"/>
            <c:extLst>
              <c:ext xmlns:c16="http://schemas.microsoft.com/office/drawing/2014/chart" uri="{C3380CC4-5D6E-409C-BE32-E72D297353CC}">
                <c16:uniqueId val="{00000003-ADBB-44FD-81ED-4BF717FA0004}"/>
              </c:ext>
            </c:extLst>
          </c:dPt>
          <c:dPt>
            <c:idx val="2"/>
            <c:invertIfNegative val="0"/>
            <c:bubble3D val="0"/>
            <c:extLst>
              <c:ext xmlns:c16="http://schemas.microsoft.com/office/drawing/2014/chart" uri="{C3380CC4-5D6E-409C-BE32-E72D297353CC}">
                <c16:uniqueId val="{00000002-ADBB-44FD-81ED-4BF717FA0004}"/>
              </c:ext>
            </c:extLst>
          </c:dPt>
          <c:dPt>
            <c:idx val="3"/>
            <c:invertIfNegative val="0"/>
            <c:bubble3D val="0"/>
            <c:extLst>
              <c:ext xmlns:c16="http://schemas.microsoft.com/office/drawing/2014/chart" uri="{C3380CC4-5D6E-409C-BE32-E72D297353CC}">
                <c16:uniqueId val="{00000001-ADBB-44FD-81ED-4BF717FA00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Table'!$A$89:$A$92</c:f>
              <c:strCache>
                <c:ptCount val="4"/>
                <c:pt idx="0">
                  <c:v>Grocery Store</c:v>
                </c:pt>
                <c:pt idx="1">
                  <c:v>Supermarket Type3</c:v>
                </c:pt>
                <c:pt idx="2">
                  <c:v>Supermarket Type2</c:v>
                </c:pt>
                <c:pt idx="3">
                  <c:v>Supermarket Type1</c:v>
                </c:pt>
              </c:strCache>
            </c:strRef>
          </c:cat>
          <c:val>
            <c:numRef>
              <c:f>'Pivot Table'!$B$89:$B$92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DBB-44FD-81ED-4BF717FA0004}"/>
            </c:ext>
          </c:extLst>
        </c:ser>
        <c:dLbls>
          <c:dLblPos val="outEnd"/>
          <c:showLegendKey val="0"/>
          <c:showVal val="1"/>
          <c:showCatName val="0"/>
          <c:showSerName val="0"/>
          <c:showPercent val="0"/>
          <c:showBubbleSize val="0"/>
        </c:dLbls>
        <c:gapWidth val="60"/>
        <c:axId val="929634623"/>
        <c:axId val="1146776127"/>
      </c:barChart>
      <c:catAx>
        <c:axId val="929634623"/>
        <c:scaling>
          <c:orientation val="minMax"/>
        </c:scaling>
        <c:delete val="1"/>
        <c:axPos val="l"/>
        <c:numFmt formatCode="General" sourceLinked="1"/>
        <c:majorTickMark val="none"/>
        <c:minorTickMark val="none"/>
        <c:tickLblPos val="nextTo"/>
        <c:crossAx val="1146776127"/>
        <c:crosses val="autoZero"/>
        <c:auto val="1"/>
        <c:lblAlgn val="ctr"/>
        <c:lblOffset val="100"/>
        <c:noMultiLvlLbl val="0"/>
      </c:catAx>
      <c:valAx>
        <c:axId val="1146776127"/>
        <c:scaling>
          <c:orientation val="minMax"/>
        </c:scaling>
        <c:delete val="1"/>
        <c:axPos val="b"/>
        <c:numFmt formatCode="0" sourceLinked="1"/>
        <c:majorTickMark val="none"/>
        <c:minorTickMark val="none"/>
        <c:tickLblPos val="nextTo"/>
        <c:crossAx val="92963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BE773F9-B886-498E-9ECB-CC5316DB998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BE773F9-B886-498E-9ECB-CC5316DB9986}">
          <cx:tx>
            <cx:txData>
              <cx:f>_xlchart.v2.4</cx:f>
              <cx:v>Sales</cx:v>
            </cx:txData>
          </cx:tx>
          <cx:dataPt idx="0">
            <cx:spPr>
              <a:solidFill>
                <a:srgbClr val="F2B8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spPr>
              <a:solidFill>
                <a:schemeClr val="bg1"/>
              </a:solidFill>
            </cx:spPr>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 idx="0">
              <cx:spPr>
                <a:solidFill>
                  <a:schemeClr val="accent4">
                    <a:lumMod val="60000"/>
                    <a:lumOff val="40000"/>
                    <a:alpha val="93000"/>
                  </a:schemeClr>
                </a:solidFill>
              </cx:spPr>
            </cx:dataLabel>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69850</xdr:colOff>
      <xdr:row>0</xdr:row>
      <xdr:rowOff>82551</xdr:rowOff>
    </xdr:from>
    <xdr:to>
      <xdr:col>6</xdr:col>
      <xdr:colOff>577850</xdr:colOff>
      <xdr:row>5</xdr:row>
      <xdr:rowOff>368301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C3FFDC3-65D7-4E2C-9E9A-81FE77D37F0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18000" y="82551"/>
              <a:ext cx="1828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146050</xdr:colOff>
      <xdr:row>7</xdr:row>
      <xdr:rowOff>50800</xdr:rowOff>
    </xdr:from>
    <xdr:to>
      <xdr:col>3</xdr:col>
      <xdr:colOff>990600</xdr:colOff>
      <xdr:row>14</xdr:row>
      <xdr:rowOff>158750</xdr:rowOff>
    </xdr:to>
    <xdr:graphicFrame macro="">
      <xdr:nvGraphicFramePr>
        <xdr:cNvPr id="5" name="Chart 4">
          <a:extLst>
            <a:ext uri="{FF2B5EF4-FFF2-40B4-BE49-F238E27FC236}">
              <a16:creationId xmlns:a16="http://schemas.microsoft.com/office/drawing/2014/main" id="{FF119D31-3CDD-426D-A040-D79BCEF58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139700</xdr:colOff>
      <xdr:row>16</xdr:row>
      <xdr:rowOff>19050</xdr:rowOff>
    </xdr:from>
    <xdr:to>
      <xdr:col>5</xdr:col>
      <xdr:colOff>393700</xdr:colOff>
      <xdr:row>21</xdr:row>
      <xdr:rowOff>0</xdr:rowOff>
    </xdr:to>
    <xdr:graphicFrame macro="">
      <xdr:nvGraphicFramePr>
        <xdr:cNvPr id="6" name="Chart 5">
          <a:extLst>
            <a:ext uri="{FF2B5EF4-FFF2-40B4-BE49-F238E27FC236}">
              <a16:creationId xmlns:a16="http://schemas.microsoft.com/office/drawing/2014/main" id="{3CDC856D-0512-442B-9A96-DF4FBA8DD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63500</xdr:colOff>
      <xdr:row>24</xdr:row>
      <xdr:rowOff>12700</xdr:rowOff>
    </xdr:from>
    <xdr:to>
      <xdr:col>5</xdr:col>
      <xdr:colOff>520700</xdr:colOff>
      <xdr:row>38</xdr:row>
      <xdr:rowOff>63500</xdr:rowOff>
    </xdr:to>
    <xdr:graphicFrame macro="">
      <xdr:nvGraphicFramePr>
        <xdr:cNvPr id="7" name="Chart 6">
          <a:extLst>
            <a:ext uri="{FF2B5EF4-FFF2-40B4-BE49-F238E27FC236}">
              <a16:creationId xmlns:a16="http://schemas.microsoft.com/office/drawing/2014/main" id="{39852E32-9ACD-4ECE-B34D-F21C740DE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xdr:colOff>
      <xdr:row>42</xdr:row>
      <xdr:rowOff>0</xdr:rowOff>
    </xdr:from>
    <xdr:to>
      <xdr:col>6</xdr:col>
      <xdr:colOff>482600</xdr:colOff>
      <xdr:row>51</xdr:row>
      <xdr:rowOff>177800</xdr:rowOff>
    </xdr:to>
    <xdr:graphicFrame macro="">
      <xdr:nvGraphicFramePr>
        <xdr:cNvPr id="8" name="Chart 7">
          <a:extLst>
            <a:ext uri="{FF2B5EF4-FFF2-40B4-BE49-F238E27FC236}">
              <a16:creationId xmlns:a16="http://schemas.microsoft.com/office/drawing/2014/main" id="{017F8AEA-4855-42DE-BA7C-9C23201E3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44450</xdr:colOff>
      <xdr:row>55</xdr:row>
      <xdr:rowOff>50800</xdr:rowOff>
    </xdr:from>
    <xdr:to>
      <xdr:col>3</xdr:col>
      <xdr:colOff>914400</xdr:colOff>
      <xdr:row>61</xdr:row>
      <xdr:rowOff>158750</xdr:rowOff>
    </xdr:to>
    <xdr:graphicFrame macro="">
      <xdr:nvGraphicFramePr>
        <xdr:cNvPr id="9" name="Chart 8">
          <a:extLst>
            <a:ext uri="{FF2B5EF4-FFF2-40B4-BE49-F238E27FC236}">
              <a16:creationId xmlns:a16="http://schemas.microsoft.com/office/drawing/2014/main" id="{D1AD6942-E3CA-43D6-8747-44823FD79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107950</xdr:colOff>
      <xdr:row>63</xdr:row>
      <xdr:rowOff>6350</xdr:rowOff>
    </xdr:from>
    <xdr:to>
      <xdr:col>7</xdr:col>
      <xdr:colOff>317500</xdr:colOff>
      <xdr:row>70</xdr:row>
      <xdr:rowOff>6350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98BB7277-03F9-4721-840F-2ED264A5C9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56100" y="13112750"/>
              <a:ext cx="2190750" cy="139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114300</xdr:colOff>
      <xdr:row>73</xdr:row>
      <xdr:rowOff>12700</xdr:rowOff>
    </xdr:from>
    <xdr:to>
      <xdr:col>3</xdr:col>
      <xdr:colOff>1035050</xdr:colOff>
      <xdr:row>78</xdr:row>
      <xdr:rowOff>171450</xdr:rowOff>
    </xdr:to>
    <xdr:graphicFrame macro="">
      <xdr:nvGraphicFramePr>
        <xdr:cNvPr id="11" name="Chart 10">
          <a:extLst>
            <a:ext uri="{FF2B5EF4-FFF2-40B4-BE49-F238E27FC236}">
              <a16:creationId xmlns:a16="http://schemas.microsoft.com/office/drawing/2014/main" id="{04E1EB69-EC30-4E4B-9925-CF7AAC3C2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88900</xdr:colOff>
      <xdr:row>79</xdr:row>
      <xdr:rowOff>190500</xdr:rowOff>
    </xdr:from>
    <xdr:to>
      <xdr:col>3</xdr:col>
      <xdr:colOff>1022350</xdr:colOff>
      <xdr:row>85</xdr:row>
      <xdr:rowOff>114300</xdr:rowOff>
    </xdr:to>
    <xdr:graphicFrame macro="">
      <xdr:nvGraphicFramePr>
        <xdr:cNvPr id="12" name="Chart 11">
          <a:extLst>
            <a:ext uri="{FF2B5EF4-FFF2-40B4-BE49-F238E27FC236}">
              <a16:creationId xmlns:a16="http://schemas.microsoft.com/office/drawing/2014/main" id="{30EDBB2B-32C1-436B-8C92-02B4B5D31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76200</xdr:colOff>
      <xdr:row>86</xdr:row>
      <xdr:rowOff>177800</xdr:rowOff>
    </xdr:from>
    <xdr:to>
      <xdr:col>3</xdr:col>
      <xdr:colOff>996950</xdr:colOff>
      <xdr:row>92</xdr:row>
      <xdr:rowOff>190500</xdr:rowOff>
    </xdr:to>
    <xdr:graphicFrame macro="">
      <xdr:nvGraphicFramePr>
        <xdr:cNvPr id="13" name="Chart 12">
          <a:extLst>
            <a:ext uri="{FF2B5EF4-FFF2-40B4-BE49-F238E27FC236}">
              <a16:creationId xmlns:a16="http://schemas.microsoft.com/office/drawing/2014/main" id="{B5359943-9681-4345-A0D9-BD8DBAA7C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82550</xdr:colOff>
      <xdr:row>0</xdr:row>
      <xdr:rowOff>69851</xdr:rowOff>
    </xdr:from>
    <xdr:to>
      <xdr:col>12</xdr:col>
      <xdr:colOff>590550</xdr:colOff>
      <xdr:row>5</xdr:row>
      <xdr:rowOff>311151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CAA861AE-F4D7-4877-A8F5-9FE7CE828FD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93100" y="6985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0</xdr:row>
      <xdr:rowOff>69850</xdr:rowOff>
    </xdr:from>
    <xdr:to>
      <xdr:col>9</xdr:col>
      <xdr:colOff>527050</xdr:colOff>
      <xdr:row>12</xdr:row>
      <xdr:rowOff>98419</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4A13EDE6-7971-4A13-80DC-8E094B7F72B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48400" y="698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104845</xdr:colOff>
      <xdr:row>1</xdr:row>
      <xdr:rowOff>82466</xdr:rowOff>
    </xdr:from>
    <xdr:to>
      <xdr:col>5</xdr:col>
      <xdr:colOff>156689</xdr:colOff>
      <xdr:row>30</xdr:row>
      <xdr:rowOff>57726</xdr:rowOff>
    </xdr:to>
    <xdr:sp macro="" textlink="">
      <xdr:nvSpPr>
        <xdr:cNvPr id="3" name="Rectangle: Top Corners Rounded 2">
          <a:extLst>
            <a:ext uri="{FF2B5EF4-FFF2-40B4-BE49-F238E27FC236}">
              <a16:creationId xmlns:a16="http://schemas.microsoft.com/office/drawing/2014/main" id="{22321F91-BB5C-4A71-8AC6-14376FE3902F}"/>
            </a:ext>
          </a:extLst>
        </xdr:cNvPr>
        <xdr:cNvSpPr/>
      </xdr:nvSpPr>
      <xdr:spPr>
        <a:xfrm rot="5400000">
          <a:off x="-417642" y="2122356"/>
          <a:ext cx="5715000" cy="2031064"/>
        </a:xfrm>
        <a:prstGeom prst="round2Same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173183</xdr:colOff>
      <xdr:row>1</xdr:row>
      <xdr:rowOff>123701</xdr:rowOff>
    </xdr:from>
    <xdr:to>
      <xdr:col>21</xdr:col>
      <xdr:colOff>74222</xdr:colOff>
      <xdr:row>30</xdr:row>
      <xdr:rowOff>24741</xdr:rowOff>
    </xdr:to>
    <xdr:sp macro="" textlink="">
      <xdr:nvSpPr>
        <xdr:cNvPr id="45" name="Rectangle: Rounded Corners 44">
          <a:extLst>
            <a:ext uri="{FF2B5EF4-FFF2-40B4-BE49-F238E27FC236}">
              <a16:creationId xmlns:a16="http://schemas.microsoft.com/office/drawing/2014/main" id="{E642330A-A767-4DDD-A621-C06AB5DE6133}"/>
            </a:ext>
          </a:extLst>
        </xdr:cNvPr>
        <xdr:cNvSpPr/>
      </xdr:nvSpPr>
      <xdr:spPr>
        <a:xfrm>
          <a:off x="9409547" y="321623"/>
          <a:ext cx="4519220" cy="5640780"/>
        </a:xfrm>
        <a:prstGeom prst="roundRect">
          <a:avLst>
            <a:gd name="adj" fmla="val 156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626754</xdr:colOff>
      <xdr:row>0</xdr:row>
      <xdr:rowOff>148442</xdr:rowOff>
    </xdr:from>
    <xdr:to>
      <xdr:col>21</xdr:col>
      <xdr:colOff>140195</xdr:colOff>
      <xdr:row>30</xdr:row>
      <xdr:rowOff>137076</xdr:rowOff>
    </xdr:to>
    <xdr:sp macro="" textlink="">
      <xdr:nvSpPr>
        <xdr:cNvPr id="2" name="Rectangle 1">
          <a:extLst>
            <a:ext uri="{FF2B5EF4-FFF2-40B4-BE49-F238E27FC236}">
              <a16:creationId xmlns:a16="http://schemas.microsoft.com/office/drawing/2014/main" id="{957F2F7F-AD44-4F3E-AF94-EB81C82AA4D4}"/>
            </a:ext>
          </a:extLst>
        </xdr:cNvPr>
        <xdr:cNvSpPr>
          <a:spLocks/>
        </xdr:cNvSpPr>
      </xdr:nvSpPr>
      <xdr:spPr>
        <a:xfrm>
          <a:off x="1286494" y="148442"/>
          <a:ext cx="12708246" cy="5926296"/>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158318</xdr:colOff>
      <xdr:row>1</xdr:row>
      <xdr:rowOff>90714</xdr:rowOff>
    </xdr:from>
    <xdr:ext cx="1903369" cy="785151"/>
    <xdr:sp macro="" textlink="">
      <xdr:nvSpPr>
        <xdr:cNvPr id="4" name="TextBox 3">
          <a:extLst>
            <a:ext uri="{FF2B5EF4-FFF2-40B4-BE49-F238E27FC236}">
              <a16:creationId xmlns:a16="http://schemas.microsoft.com/office/drawing/2014/main" id="{2A3801E6-442A-47DD-832C-FED148FB6C6D}"/>
            </a:ext>
          </a:extLst>
        </xdr:cNvPr>
        <xdr:cNvSpPr txBox="1"/>
      </xdr:nvSpPr>
      <xdr:spPr>
        <a:xfrm>
          <a:off x="1477799" y="288636"/>
          <a:ext cx="1903369"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181428</xdr:colOff>
      <xdr:row>4</xdr:row>
      <xdr:rowOff>57728</xdr:rowOff>
    </xdr:from>
    <xdr:ext cx="1903369" cy="269369"/>
    <xdr:sp macro="" textlink="">
      <xdr:nvSpPr>
        <xdr:cNvPr id="5" name="TextBox 4">
          <a:extLst>
            <a:ext uri="{FF2B5EF4-FFF2-40B4-BE49-F238E27FC236}">
              <a16:creationId xmlns:a16="http://schemas.microsoft.com/office/drawing/2014/main" id="{79D5FF4A-8DAF-4332-820F-9293183E2E1A}"/>
            </a:ext>
          </a:extLst>
        </xdr:cNvPr>
        <xdr:cNvSpPr txBox="1"/>
      </xdr:nvSpPr>
      <xdr:spPr>
        <a:xfrm>
          <a:off x="1500909" y="849416"/>
          <a:ext cx="19033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tx1"/>
              </a:solidFill>
              <a:latin typeface="Arial" panose="020B0604020202020204" pitchFamily="34" charset="0"/>
              <a:ea typeface="Segoe UI Black" panose="020B0A02040204020203" pitchFamily="34" charset="0"/>
              <a:cs typeface="Arial" panose="020B0604020202020204" pitchFamily="34" charset="0"/>
            </a:rPr>
            <a:t>India's</a:t>
          </a:r>
          <a:r>
            <a:rPr lang="en-US"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Last Minute App</a:t>
          </a:r>
          <a:endParaRPr lang="en-US" sz="1200" b="1">
            <a:solidFill>
              <a:schemeClr val="accent6">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oneCellAnchor>
  <xdr:twoCellAnchor>
    <xdr:from>
      <xdr:col>5</xdr:col>
      <xdr:colOff>354445</xdr:colOff>
      <xdr:row>1</xdr:row>
      <xdr:rowOff>113310</xdr:rowOff>
    </xdr:from>
    <xdr:to>
      <xdr:col>14</xdr:col>
      <xdr:colOff>67844</xdr:colOff>
      <xdr:row>13</xdr:row>
      <xdr:rowOff>14282</xdr:rowOff>
    </xdr:to>
    <xdr:grpSp>
      <xdr:nvGrpSpPr>
        <xdr:cNvPr id="10" name="Group 9">
          <a:extLst>
            <a:ext uri="{FF2B5EF4-FFF2-40B4-BE49-F238E27FC236}">
              <a16:creationId xmlns:a16="http://schemas.microsoft.com/office/drawing/2014/main" id="{D795E902-E2A8-47C3-9F1E-2F39A9B6C4FC}"/>
            </a:ext>
          </a:extLst>
        </xdr:cNvPr>
        <xdr:cNvGrpSpPr/>
      </xdr:nvGrpSpPr>
      <xdr:grpSpPr>
        <a:xfrm>
          <a:off x="3653146" y="311232"/>
          <a:ext cx="5651062" cy="2276037"/>
          <a:chOff x="3653146" y="311232"/>
          <a:chExt cx="5651062" cy="2276037"/>
        </a:xfrm>
      </xdr:grpSpPr>
      <xdr:sp macro="" textlink="">
        <xdr:nvSpPr>
          <xdr:cNvPr id="6" name="Rectangle: Rounded Corners 5">
            <a:extLst>
              <a:ext uri="{FF2B5EF4-FFF2-40B4-BE49-F238E27FC236}">
                <a16:creationId xmlns:a16="http://schemas.microsoft.com/office/drawing/2014/main" id="{29367122-D6BA-48A7-9934-D97CA2EA4FC2}"/>
              </a:ext>
            </a:extLst>
          </xdr:cNvPr>
          <xdr:cNvSpPr/>
        </xdr:nvSpPr>
        <xdr:spPr>
          <a:xfrm>
            <a:off x="3653146" y="311232"/>
            <a:ext cx="2736000" cy="1047600"/>
          </a:xfrm>
          <a:prstGeom prst="roundRect">
            <a:avLst/>
          </a:prstGeom>
          <a:gradFill flip="none" rotWithShape="1">
            <a:gsLst>
              <a:gs pos="0">
                <a:srgbClr val="FFC000">
                  <a:alpha val="60000"/>
                </a:srgbClr>
              </a:gs>
              <a:gs pos="54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D044112B-748A-4CB7-A674-EE52B29A74CD}"/>
              </a:ext>
            </a:extLst>
          </xdr:cNvPr>
          <xdr:cNvSpPr/>
        </xdr:nvSpPr>
        <xdr:spPr>
          <a:xfrm>
            <a:off x="6568208" y="311232"/>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0F6174A7-94E7-4D67-9890-0A48859B6A90}"/>
              </a:ext>
            </a:extLst>
          </xdr:cNvPr>
          <xdr:cNvSpPr/>
        </xdr:nvSpPr>
        <xdr:spPr>
          <a:xfrm>
            <a:off x="3653146" y="1539669"/>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4149B1D5-91BB-4646-A87D-060F668C8BB0}"/>
              </a:ext>
            </a:extLst>
          </xdr:cNvPr>
          <xdr:cNvSpPr/>
        </xdr:nvSpPr>
        <xdr:spPr>
          <a:xfrm>
            <a:off x="6568208" y="1539669"/>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230909</xdr:colOff>
      <xdr:row>7</xdr:row>
      <xdr:rowOff>82466</xdr:rowOff>
    </xdr:from>
    <xdr:to>
      <xdr:col>5</xdr:col>
      <xdr:colOff>80489</xdr:colOff>
      <xdr:row>13</xdr:row>
      <xdr:rowOff>24740</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E2103F8D-1D82-4512-98E6-9A028D9AF63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50390" y="1467921"/>
              <a:ext cx="1828800" cy="1030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26718</xdr:colOff>
      <xdr:row>2</xdr:row>
      <xdr:rowOff>39089</xdr:rowOff>
    </xdr:from>
    <xdr:ext cx="1781300" cy="468013"/>
    <xdr:sp macro="" textlink="'Pivot Table'!A6">
      <xdr:nvSpPr>
        <xdr:cNvPr id="14" name="TextBox 13">
          <a:extLst>
            <a:ext uri="{FF2B5EF4-FFF2-40B4-BE49-F238E27FC236}">
              <a16:creationId xmlns:a16="http://schemas.microsoft.com/office/drawing/2014/main" id="{2A41C601-5792-4FF8-B6EC-7CAA5EE347D7}"/>
            </a:ext>
          </a:extLst>
        </xdr:cNvPr>
        <xdr:cNvSpPr txBox="1"/>
      </xdr:nvSpPr>
      <xdr:spPr>
        <a:xfrm>
          <a:off x="3985160" y="434933"/>
          <a:ext cx="17813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C07DFC5-FDEE-4E51-8E49-61A45D720515}" type="TxLink">
            <a:rPr lang="en-US" sz="2400" b="0" i="0" u="none" strike="noStrike">
              <a:solidFill>
                <a:srgbClr val="000000"/>
              </a:solidFill>
              <a:latin typeface="Arial Rounded MT Bold"/>
            </a:rPr>
            <a:pPr/>
            <a:t>$1.20M</a:t>
          </a:fld>
          <a:endParaRPr lang="en-US" sz="1100"/>
        </a:p>
      </xdr:txBody>
    </xdr:sp>
    <xdr:clientData/>
  </xdr:oneCellAnchor>
  <xdr:oneCellAnchor>
    <xdr:from>
      <xdr:col>5</xdr:col>
      <xdr:colOff>393535</xdr:colOff>
      <xdr:row>4</xdr:row>
      <xdr:rowOff>88404</xdr:rowOff>
    </xdr:from>
    <xdr:ext cx="1781300" cy="279948"/>
    <xdr:sp macro="" textlink="">
      <xdr:nvSpPr>
        <xdr:cNvPr id="15" name="TextBox 14">
          <a:extLst>
            <a:ext uri="{FF2B5EF4-FFF2-40B4-BE49-F238E27FC236}">
              <a16:creationId xmlns:a16="http://schemas.microsoft.com/office/drawing/2014/main" id="{0BA227C5-2758-4C99-9053-46AACA78425E}"/>
            </a:ext>
          </a:extLst>
        </xdr:cNvPr>
        <xdr:cNvSpPr txBox="1"/>
      </xdr:nvSpPr>
      <xdr:spPr>
        <a:xfrm>
          <a:off x="3692236" y="880092"/>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i="0" u="none" strike="noStrike">
              <a:solidFill>
                <a:srgbClr val="000000"/>
              </a:solidFill>
              <a:latin typeface="Segoe UI Semibold" panose="020B0702040204020203" pitchFamily="34" charset="0"/>
              <a:cs typeface="Segoe UI Semibold" panose="020B0702040204020203" pitchFamily="34" charset="0"/>
            </a:rPr>
            <a:t>TOTAL</a:t>
          </a:r>
          <a:r>
            <a:rPr lang="en-US" sz="1100" b="1" i="0" u="none" strike="noStrike" baseline="0">
              <a:solidFill>
                <a:srgbClr val="000000"/>
              </a:solidFill>
              <a:latin typeface="Segoe UI Semibold" panose="020B0702040204020203" pitchFamily="34" charset="0"/>
              <a:cs typeface="Segoe UI Semibold" panose="020B0702040204020203" pitchFamily="34" charset="0"/>
            </a:rPr>
            <a:t> SALES</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oneCellAnchor>
    <xdr:from>
      <xdr:col>10</xdr:col>
      <xdr:colOff>286326</xdr:colOff>
      <xdr:row>2</xdr:row>
      <xdr:rowOff>39089</xdr:rowOff>
    </xdr:from>
    <xdr:ext cx="1781300" cy="468013"/>
    <xdr:sp macro="" textlink="'Pivot Table'!D6">
      <xdr:nvSpPr>
        <xdr:cNvPr id="16" name="TextBox 15">
          <a:extLst>
            <a:ext uri="{FF2B5EF4-FFF2-40B4-BE49-F238E27FC236}">
              <a16:creationId xmlns:a16="http://schemas.microsoft.com/office/drawing/2014/main" id="{42C4506E-E628-4D34-80CD-5BFBEFFA7BA9}"/>
            </a:ext>
          </a:extLst>
        </xdr:cNvPr>
        <xdr:cNvSpPr txBox="1"/>
      </xdr:nvSpPr>
      <xdr:spPr>
        <a:xfrm>
          <a:off x="6883729" y="434933"/>
          <a:ext cx="17813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88B85B-0A4D-4B4D-B67F-DBBB3B85234A}" type="TxLink">
            <a:rPr lang="en-US" sz="2400" b="0" i="0" u="none" strike="noStrike">
              <a:solidFill>
                <a:srgbClr val="000000"/>
              </a:solidFill>
              <a:latin typeface="Arial Rounded MT Bold"/>
            </a:rPr>
            <a:pPr/>
            <a:t>$141</a:t>
          </a:fld>
          <a:endParaRPr lang="en-US" sz="1100"/>
        </a:p>
      </xdr:txBody>
    </xdr:sp>
    <xdr:clientData/>
  </xdr:oneCellAnchor>
  <xdr:oneCellAnchor>
    <xdr:from>
      <xdr:col>9</xdr:col>
      <xdr:colOff>545935</xdr:colOff>
      <xdr:row>4</xdr:row>
      <xdr:rowOff>88404</xdr:rowOff>
    </xdr:from>
    <xdr:ext cx="1781300" cy="279948"/>
    <xdr:sp macro="" textlink="">
      <xdr:nvSpPr>
        <xdr:cNvPr id="17" name="TextBox 16">
          <a:extLst>
            <a:ext uri="{FF2B5EF4-FFF2-40B4-BE49-F238E27FC236}">
              <a16:creationId xmlns:a16="http://schemas.microsoft.com/office/drawing/2014/main" id="{AEDCBE5E-9933-4212-B9D1-6FF1355716DA}"/>
            </a:ext>
          </a:extLst>
        </xdr:cNvPr>
        <xdr:cNvSpPr txBox="1"/>
      </xdr:nvSpPr>
      <xdr:spPr>
        <a:xfrm>
          <a:off x="6483597" y="880092"/>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i="0" u="none" strike="noStrike" baseline="0">
              <a:solidFill>
                <a:srgbClr val="000000"/>
              </a:solidFill>
              <a:latin typeface="Segoe UI Semibold" panose="020B0702040204020203" pitchFamily="34" charset="0"/>
              <a:cs typeface="Segoe UI Semibold" panose="020B0702040204020203" pitchFamily="34" charset="0"/>
            </a:rPr>
            <a:t>AVG SALES</a:t>
          </a:r>
          <a:endParaRPr lang="en-US" sz="1100" b="0"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oneCellAnchor>
    <xdr:from>
      <xdr:col>6</xdr:col>
      <xdr:colOff>117432</xdr:colOff>
      <xdr:row>8</xdr:row>
      <xdr:rowOff>18307</xdr:rowOff>
    </xdr:from>
    <xdr:ext cx="1781300" cy="468013"/>
    <xdr:sp macro="" textlink="'Pivot Table'!C6">
      <xdr:nvSpPr>
        <xdr:cNvPr id="18" name="TextBox 17">
          <a:extLst>
            <a:ext uri="{FF2B5EF4-FFF2-40B4-BE49-F238E27FC236}">
              <a16:creationId xmlns:a16="http://schemas.microsoft.com/office/drawing/2014/main" id="{8D7125A7-0382-434A-84B6-9C5AE5034279}"/>
            </a:ext>
          </a:extLst>
        </xdr:cNvPr>
        <xdr:cNvSpPr txBox="1"/>
      </xdr:nvSpPr>
      <xdr:spPr>
        <a:xfrm>
          <a:off x="4075874" y="1601684"/>
          <a:ext cx="17813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8CA909E-F3C7-4F18-ABC3-43A87951F48A}" type="TxLink">
            <a:rPr lang="en-US" sz="2400" b="0" i="0" u="none" strike="noStrike">
              <a:solidFill>
                <a:srgbClr val="000000"/>
              </a:solidFill>
              <a:latin typeface="Arial Rounded MT Bold"/>
            </a:rPr>
            <a:pPr/>
            <a:t>8523</a:t>
          </a:fld>
          <a:endParaRPr lang="en-US" sz="1100"/>
        </a:p>
      </xdr:txBody>
    </xdr:sp>
    <xdr:clientData/>
  </xdr:oneCellAnchor>
  <xdr:oneCellAnchor>
    <xdr:from>
      <xdr:col>5</xdr:col>
      <xdr:colOff>393535</xdr:colOff>
      <xdr:row>10</xdr:row>
      <xdr:rowOff>53107</xdr:rowOff>
    </xdr:from>
    <xdr:ext cx="1781300" cy="279948"/>
    <xdr:sp macro="" textlink="">
      <xdr:nvSpPr>
        <xdr:cNvPr id="20" name="TextBox 19">
          <a:extLst>
            <a:ext uri="{FF2B5EF4-FFF2-40B4-BE49-F238E27FC236}">
              <a16:creationId xmlns:a16="http://schemas.microsoft.com/office/drawing/2014/main" id="{E427DF8C-09E0-4690-A090-BF53532A4A40}"/>
            </a:ext>
          </a:extLst>
        </xdr:cNvPr>
        <xdr:cNvSpPr txBox="1"/>
      </xdr:nvSpPr>
      <xdr:spPr>
        <a:xfrm>
          <a:off x="3692236" y="2032328"/>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i="0" u="none" strike="noStrike">
              <a:solidFill>
                <a:srgbClr val="000000"/>
              </a:solidFill>
              <a:latin typeface="Segoe UI Semibold" panose="020B0702040204020203" pitchFamily="34" charset="0"/>
              <a:cs typeface="Segoe UI Semibold" panose="020B0702040204020203" pitchFamily="34" charset="0"/>
            </a:rPr>
            <a:t>NO</a:t>
          </a:r>
          <a:r>
            <a:rPr lang="en-US" sz="1100" b="1" i="0" u="none" strike="noStrike" baseline="0">
              <a:solidFill>
                <a:srgbClr val="000000"/>
              </a:solidFill>
              <a:latin typeface="Segoe UI Semibold" panose="020B0702040204020203" pitchFamily="34" charset="0"/>
              <a:cs typeface="Segoe UI Semibold" panose="020B0702040204020203" pitchFamily="34" charset="0"/>
            </a:rPr>
            <a:t> OF ITEMS</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oneCellAnchor>
    <xdr:from>
      <xdr:col>10</xdr:col>
      <xdr:colOff>286326</xdr:colOff>
      <xdr:row>8</xdr:row>
      <xdr:rowOff>18307</xdr:rowOff>
    </xdr:from>
    <xdr:ext cx="1781300" cy="468013"/>
    <xdr:sp macro="" textlink="'Pivot Table'!B6">
      <xdr:nvSpPr>
        <xdr:cNvPr id="21" name="TextBox 20">
          <a:extLst>
            <a:ext uri="{FF2B5EF4-FFF2-40B4-BE49-F238E27FC236}">
              <a16:creationId xmlns:a16="http://schemas.microsoft.com/office/drawing/2014/main" id="{DB3CE742-D98D-49E0-97CC-E51AE1EDF31F}"/>
            </a:ext>
          </a:extLst>
        </xdr:cNvPr>
        <xdr:cNvSpPr txBox="1"/>
      </xdr:nvSpPr>
      <xdr:spPr>
        <a:xfrm>
          <a:off x="6883729" y="1601684"/>
          <a:ext cx="17813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1BEB8C4-3528-4484-8E96-84726860FD84}" type="TxLink">
            <a:rPr lang="en-US" sz="2400" b="0" i="0" u="none" strike="noStrike">
              <a:solidFill>
                <a:srgbClr val="000000"/>
              </a:solidFill>
              <a:latin typeface="Arial Rounded MT Bold"/>
            </a:rPr>
            <a:pPr/>
            <a:t>4.0</a:t>
          </a:fld>
          <a:endParaRPr lang="en-US" sz="1100"/>
        </a:p>
      </xdr:txBody>
    </xdr:sp>
    <xdr:clientData/>
  </xdr:oneCellAnchor>
  <xdr:oneCellAnchor>
    <xdr:from>
      <xdr:col>9</xdr:col>
      <xdr:colOff>545935</xdr:colOff>
      <xdr:row>10</xdr:row>
      <xdr:rowOff>53107</xdr:rowOff>
    </xdr:from>
    <xdr:ext cx="1781300" cy="279948"/>
    <xdr:sp macro="" textlink="">
      <xdr:nvSpPr>
        <xdr:cNvPr id="22" name="TextBox 21">
          <a:extLst>
            <a:ext uri="{FF2B5EF4-FFF2-40B4-BE49-F238E27FC236}">
              <a16:creationId xmlns:a16="http://schemas.microsoft.com/office/drawing/2014/main" id="{661F20E9-3601-4AD2-A45F-DBA53D2AF70A}"/>
            </a:ext>
          </a:extLst>
        </xdr:cNvPr>
        <xdr:cNvSpPr txBox="1"/>
      </xdr:nvSpPr>
      <xdr:spPr>
        <a:xfrm>
          <a:off x="6483597" y="2032328"/>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i="0" u="none" strike="noStrike">
              <a:solidFill>
                <a:srgbClr val="000000"/>
              </a:solidFill>
              <a:latin typeface="Segoe UI Semibold" panose="020B0702040204020203" pitchFamily="34" charset="0"/>
              <a:cs typeface="Segoe UI Semibold" panose="020B0702040204020203" pitchFamily="34" charset="0"/>
            </a:rPr>
            <a:t>AVG</a:t>
          </a:r>
          <a:r>
            <a:rPr lang="en-US" sz="1100" b="0" i="0" u="none" strike="noStrike" baseline="0">
              <a:solidFill>
                <a:srgbClr val="000000"/>
              </a:solidFill>
              <a:latin typeface="Segoe UI Semibold" panose="020B0702040204020203" pitchFamily="34" charset="0"/>
              <a:cs typeface="Segoe UI Semibold" panose="020B0702040204020203" pitchFamily="34" charset="0"/>
            </a:rPr>
            <a:t> RATINGS</a:t>
          </a:r>
          <a:endParaRPr lang="en-US" sz="1100" b="0"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13</xdr:col>
      <xdr:colOff>334235</xdr:colOff>
      <xdr:row>2</xdr:row>
      <xdr:rowOff>20529</xdr:rowOff>
    </xdr:from>
    <xdr:to>
      <xdr:col>13</xdr:col>
      <xdr:colOff>645747</xdr:colOff>
      <xdr:row>3</xdr:row>
      <xdr:rowOff>136059</xdr:rowOff>
    </xdr:to>
    <xdr:pic>
      <xdr:nvPicPr>
        <xdr:cNvPr id="24" name="Picture 23" descr="C:\Users\Dell\AppData\Local\Temp\1895cd4a-7f33-4a5f-8fa5-3bd74d491d27_Images Used-20251102T164218Z-1-001.zip.d27\Images Used\Avg Sales.png">
          <a:extLst>
            <a:ext uri="{FF2B5EF4-FFF2-40B4-BE49-F238E27FC236}">
              <a16:creationId xmlns:a16="http://schemas.microsoft.com/office/drawing/2014/main" id="{6508AC2C-B324-486B-8DF2-04A1683485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0858" y="416373"/>
          <a:ext cx="311512" cy="313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215</xdr:colOff>
      <xdr:row>8</xdr:row>
      <xdr:rowOff>2093</xdr:rowOff>
    </xdr:from>
    <xdr:to>
      <xdr:col>9</xdr:col>
      <xdr:colOff>396059</xdr:colOff>
      <xdr:row>10</xdr:row>
      <xdr:rowOff>4558</xdr:rowOff>
    </xdr:to>
    <xdr:pic>
      <xdr:nvPicPr>
        <xdr:cNvPr id="25" name="Picture 24" descr="C:\Users\Dell\AppData\Local\Temp\3cbcd11c-b444-40bb-b913-033aca609c80_Images Used-20251102T164218Z-1-001.zip.c80\Images Used\Items.png">
          <a:extLst>
            <a:ext uri="{FF2B5EF4-FFF2-40B4-BE49-F238E27FC236}">
              <a16:creationId xmlns:a16="http://schemas.microsoft.com/office/drawing/2014/main" id="{6ADD2CCA-4BBC-48AF-B095-D72239B8BD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7877" y="1585470"/>
          <a:ext cx="395844" cy="398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296884</xdr:colOff>
      <xdr:row>8</xdr:row>
      <xdr:rowOff>6937</xdr:rowOff>
    </xdr:from>
    <xdr:to>
      <xdr:col>14</xdr:col>
      <xdr:colOff>23358</xdr:colOff>
      <xdr:row>9</xdr:row>
      <xdr:rowOff>197636</xdr:rowOff>
    </xdr:to>
    <xdr:pic>
      <xdr:nvPicPr>
        <xdr:cNvPr id="26" name="Picture 25" descr="C:\Users\Dell\AppData\Local\Temp\7f720241-fba2-402e-9e94-517e27cc51e2_Images Used-20251102T164218Z-1-001.zip.1e2\Images Used\rating (1).png">
          <a:extLst>
            <a:ext uri="{FF2B5EF4-FFF2-40B4-BE49-F238E27FC236}">
              <a16:creationId xmlns:a16="http://schemas.microsoft.com/office/drawing/2014/main" id="{9A335180-BECA-4F3C-9A54-08BFC55837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73507" y="1590314"/>
          <a:ext cx="386215" cy="388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16494</xdr:colOff>
      <xdr:row>1</xdr:row>
      <xdr:rowOff>192403</xdr:rowOff>
    </xdr:from>
    <xdr:to>
      <xdr:col>9</xdr:col>
      <xdr:colOff>379780</xdr:colOff>
      <xdr:row>3</xdr:row>
      <xdr:rowOff>162108</xdr:rowOff>
    </xdr:to>
    <xdr:pic>
      <xdr:nvPicPr>
        <xdr:cNvPr id="27" name="Picture 26" descr="C:\Users\Dell\AppData\Local\Temp\971a55b7-8f7b-4353-81ca-fd93945d0d36_Images Used-20251102T164218Z-1-001.zip.d36\Images Used\Sales.png">
          <a:extLst>
            <a:ext uri="{FF2B5EF4-FFF2-40B4-BE49-F238E27FC236}">
              <a16:creationId xmlns:a16="http://schemas.microsoft.com/office/drawing/2014/main" id="{0036C5A3-A23D-4151-8C58-436117442A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54156" y="390325"/>
          <a:ext cx="363286" cy="365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366649</xdr:colOff>
      <xdr:row>13</xdr:row>
      <xdr:rowOff>166748</xdr:rowOff>
    </xdr:from>
    <xdr:to>
      <xdr:col>14</xdr:col>
      <xdr:colOff>57727</xdr:colOff>
      <xdr:row>30</xdr:row>
      <xdr:rowOff>49481</xdr:rowOff>
    </xdr:to>
    <xdr:sp macro="" textlink="">
      <xdr:nvSpPr>
        <xdr:cNvPr id="28" name="Rectangle: Rounded Corners 27">
          <a:extLst>
            <a:ext uri="{FF2B5EF4-FFF2-40B4-BE49-F238E27FC236}">
              <a16:creationId xmlns:a16="http://schemas.microsoft.com/office/drawing/2014/main" id="{A33A8288-D57E-4D48-BF9F-8C3FCC9E1520}"/>
            </a:ext>
          </a:extLst>
        </xdr:cNvPr>
        <xdr:cNvSpPr/>
      </xdr:nvSpPr>
      <xdr:spPr>
        <a:xfrm>
          <a:off x="3665350" y="2739735"/>
          <a:ext cx="5628741" cy="3247408"/>
        </a:xfrm>
        <a:prstGeom prst="roundRect">
          <a:avLst>
            <a:gd name="adj" fmla="val 1565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26388</xdr:colOff>
      <xdr:row>13</xdr:row>
      <xdr:rowOff>131287</xdr:rowOff>
    </xdr:from>
    <xdr:ext cx="1781300" cy="279948"/>
    <xdr:sp macro="" textlink="">
      <xdr:nvSpPr>
        <xdr:cNvPr id="30" name="TextBox 29">
          <a:extLst>
            <a:ext uri="{FF2B5EF4-FFF2-40B4-BE49-F238E27FC236}">
              <a16:creationId xmlns:a16="http://schemas.microsoft.com/office/drawing/2014/main" id="{89A388DD-D6D4-48CD-B8BB-B7293E1CD6E2}"/>
            </a:ext>
          </a:extLst>
        </xdr:cNvPr>
        <xdr:cNvSpPr txBox="1"/>
      </xdr:nvSpPr>
      <xdr:spPr>
        <a:xfrm>
          <a:off x="3984830" y="2704274"/>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FAT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CONTENT</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6</xdr:col>
      <xdr:colOff>3792</xdr:colOff>
      <xdr:row>14</xdr:row>
      <xdr:rowOff>183242</xdr:rowOff>
    </xdr:from>
    <xdr:to>
      <xdr:col>8</xdr:col>
      <xdr:colOff>593766</xdr:colOff>
      <xdr:row>21</xdr:row>
      <xdr:rowOff>140194</xdr:rowOff>
    </xdr:to>
    <xdr:graphicFrame macro="">
      <xdr:nvGraphicFramePr>
        <xdr:cNvPr id="31" name="Chart 30">
          <a:extLst>
            <a:ext uri="{FF2B5EF4-FFF2-40B4-BE49-F238E27FC236}">
              <a16:creationId xmlns:a16="http://schemas.microsoft.com/office/drawing/2014/main" id="{FCCC192D-F8A1-452E-B382-EB2F15CD0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525566</xdr:colOff>
      <xdr:row>14</xdr:row>
      <xdr:rowOff>43047</xdr:rowOff>
    </xdr:from>
    <xdr:to>
      <xdr:col>9</xdr:col>
      <xdr:colOff>527793</xdr:colOff>
      <xdr:row>29</xdr:row>
      <xdr:rowOff>183176</xdr:rowOff>
    </xdr:to>
    <xdr:cxnSp macro="">
      <xdr:nvCxnSpPr>
        <xdr:cNvPr id="33" name="Straight Connector 32">
          <a:extLst>
            <a:ext uri="{FF2B5EF4-FFF2-40B4-BE49-F238E27FC236}">
              <a16:creationId xmlns:a16="http://schemas.microsoft.com/office/drawing/2014/main" id="{D70C4CC3-35C9-4B4D-B9EC-2248D8A8D30C}"/>
            </a:ext>
          </a:extLst>
        </xdr:cNvPr>
        <xdr:cNvCxnSpPr/>
      </xdr:nvCxnSpPr>
      <xdr:spPr>
        <a:xfrm>
          <a:off x="6463228" y="2813956"/>
          <a:ext cx="2227" cy="310896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419341</xdr:colOff>
      <xdr:row>22</xdr:row>
      <xdr:rowOff>19223</xdr:rowOff>
    </xdr:from>
    <xdr:to>
      <xdr:col>9</xdr:col>
      <xdr:colOff>445325</xdr:colOff>
      <xdr:row>22</xdr:row>
      <xdr:rowOff>32987</xdr:rowOff>
    </xdr:to>
    <xdr:cxnSp macro="">
      <xdr:nvCxnSpPr>
        <xdr:cNvPr id="37" name="Straight Connector 36">
          <a:extLst>
            <a:ext uri="{FF2B5EF4-FFF2-40B4-BE49-F238E27FC236}">
              <a16:creationId xmlns:a16="http://schemas.microsoft.com/office/drawing/2014/main" id="{C400DB5C-AF35-4EAC-9E74-9DD1D99814DB}"/>
            </a:ext>
          </a:extLst>
        </xdr:cNvPr>
        <xdr:cNvCxnSpPr/>
      </xdr:nvCxnSpPr>
      <xdr:spPr>
        <a:xfrm>
          <a:off x="3718042" y="4373509"/>
          <a:ext cx="2664945" cy="1376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90714</xdr:colOff>
      <xdr:row>23</xdr:row>
      <xdr:rowOff>24740</xdr:rowOff>
    </xdr:from>
    <xdr:to>
      <xdr:col>9</xdr:col>
      <xdr:colOff>470065</xdr:colOff>
      <xdr:row>29</xdr:row>
      <xdr:rowOff>173182</xdr:rowOff>
    </xdr:to>
    <xdr:graphicFrame macro="">
      <xdr:nvGraphicFramePr>
        <xdr:cNvPr id="40" name="Chart 39">
          <a:extLst>
            <a:ext uri="{FF2B5EF4-FFF2-40B4-BE49-F238E27FC236}">
              <a16:creationId xmlns:a16="http://schemas.microsoft.com/office/drawing/2014/main" id="{4450E386-A765-4202-99FB-6EDD8E2AA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30347</xdr:colOff>
      <xdr:row>21</xdr:row>
      <xdr:rowOff>184727</xdr:rowOff>
    </xdr:from>
    <xdr:ext cx="1781300" cy="279948"/>
    <xdr:sp macro="" textlink="">
      <xdr:nvSpPr>
        <xdr:cNvPr id="41" name="TextBox 40">
          <a:extLst>
            <a:ext uri="{FF2B5EF4-FFF2-40B4-BE49-F238E27FC236}">
              <a16:creationId xmlns:a16="http://schemas.microsoft.com/office/drawing/2014/main" id="{80474CB2-31E2-4173-8C9D-E7A9BDEE7895}"/>
            </a:ext>
          </a:extLst>
        </xdr:cNvPr>
        <xdr:cNvSpPr txBox="1"/>
      </xdr:nvSpPr>
      <xdr:spPr>
        <a:xfrm>
          <a:off x="3988789" y="4341091"/>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FAT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BY OUTLET</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oneCellAnchor>
    <xdr:from>
      <xdr:col>9</xdr:col>
      <xdr:colOff>648853</xdr:colOff>
      <xdr:row>13</xdr:row>
      <xdr:rowOff>168233</xdr:rowOff>
    </xdr:from>
    <xdr:ext cx="1781300" cy="279948"/>
    <xdr:sp macro="" textlink="">
      <xdr:nvSpPr>
        <xdr:cNvPr id="42" name="TextBox 41">
          <a:extLst>
            <a:ext uri="{FF2B5EF4-FFF2-40B4-BE49-F238E27FC236}">
              <a16:creationId xmlns:a16="http://schemas.microsoft.com/office/drawing/2014/main" id="{00D86FC5-475A-4F46-AF0B-A7A82DB0EED3}"/>
            </a:ext>
          </a:extLst>
        </xdr:cNvPr>
        <xdr:cNvSpPr txBox="1"/>
      </xdr:nvSpPr>
      <xdr:spPr>
        <a:xfrm>
          <a:off x="6586515" y="2741220"/>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ITEM</a:t>
          </a:r>
          <a:r>
            <a:rPr lang="en-US" sz="1100" b="1" i="0" u="none" strike="noStrike" baseline="0">
              <a:solidFill>
                <a:srgbClr val="000000"/>
              </a:solidFill>
              <a:latin typeface="Segoe UI Semibold" panose="020B0702040204020203" pitchFamily="34" charset="0"/>
              <a:cs typeface="Segoe UI Semibold" panose="020B0702040204020203" pitchFamily="34" charset="0"/>
            </a:rPr>
            <a:t> TYPE</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9</xdr:col>
      <xdr:colOff>577273</xdr:colOff>
      <xdr:row>14</xdr:row>
      <xdr:rowOff>166748</xdr:rowOff>
    </xdr:from>
    <xdr:to>
      <xdr:col>13</xdr:col>
      <xdr:colOff>585520</xdr:colOff>
      <xdr:row>29</xdr:row>
      <xdr:rowOff>140195</xdr:rowOff>
    </xdr:to>
    <xdr:graphicFrame macro="">
      <xdr:nvGraphicFramePr>
        <xdr:cNvPr id="43" name="Chart 42">
          <a:extLst>
            <a:ext uri="{FF2B5EF4-FFF2-40B4-BE49-F238E27FC236}">
              <a16:creationId xmlns:a16="http://schemas.microsoft.com/office/drawing/2014/main" id="{C4835AEE-8CB9-4FBA-9E35-362C52B23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428831</xdr:colOff>
      <xdr:row>3</xdr:row>
      <xdr:rowOff>57728</xdr:rowOff>
    </xdr:from>
    <xdr:to>
      <xdr:col>20</xdr:col>
      <xdr:colOff>610260</xdr:colOff>
      <xdr:row>12</xdr:row>
      <xdr:rowOff>156688</xdr:rowOff>
    </xdr:to>
    <xdr:graphicFrame macro="">
      <xdr:nvGraphicFramePr>
        <xdr:cNvPr id="44" name="Chart 43">
          <a:extLst>
            <a:ext uri="{FF2B5EF4-FFF2-40B4-BE49-F238E27FC236}">
              <a16:creationId xmlns:a16="http://schemas.microsoft.com/office/drawing/2014/main" id="{2BE67275-D261-4A03-B7F2-CA928841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14</xdr:col>
      <xdr:colOff>388914</xdr:colOff>
      <xdr:row>2</xdr:row>
      <xdr:rowOff>23750</xdr:rowOff>
    </xdr:from>
    <xdr:ext cx="2225306" cy="279948"/>
    <xdr:sp macro="" textlink="">
      <xdr:nvSpPr>
        <xdr:cNvPr id="46" name="TextBox 45">
          <a:extLst>
            <a:ext uri="{FF2B5EF4-FFF2-40B4-BE49-F238E27FC236}">
              <a16:creationId xmlns:a16="http://schemas.microsoft.com/office/drawing/2014/main" id="{7A13AAC4-3052-4DEE-A3B4-A47E13002D67}"/>
            </a:ext>
          </a:extLst>
        </xdr:cNvPr>
        <xdr:cNvSpPr txBox="1"/>
      </xdr:nvSpPr>
      <xdr:spPr>
        <a:xfrm>
          <a:off x="9625278" y="419594"/>
          <a:ext cx="222530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OUTLET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ESTABLISHMENT</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14</xdr:col>
      <xdr:colOff>233624</xdr:colOff>
      <xdr:row>12</xdr:row>
      <xdr:rowOff>189675</xdr:rowOff>
    </xdr:from>
    <xdr:to>
      <xdr:col>21</xdr:col>
      <xdr:colOff>32987</xdr:colOff>
      <xdr:row>13</xdr:row>
      <xdr:rowOff>31429</xdr:rowOff>
    </xdr:to>
    <xdr:cxnSp macro="">
      <xdr:nvCxnSpPr>
        <xdr:cNvPr id="47" name="Straight Connector 46">
          <a:extLst>
            <a:ext uri="{FF2B5EF4-FFF2-40B4-BE49-F238E27FC236}">
              <a16:creationId xmlns:a16="http://schemas.microsoft.com/office/drawing/2014/main" id="{A85E3F0F-9F60-476B-B8FF-B8133C795107}"/>
            </a:ext>
          </a:extLst>
        </xdr:cNvPr>
        <xdr:cNvCxnSpPr/>
      </xdr:nvCxnSpPr>
      <xdr:spPr>
        <a:xfrm flipV="1">
          <a:off x="9469988" y="2564740"/>
          <a:ext cx="4417544" cy="3967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335146</xdr:colOff>
      <xdr:row>13</xdr:row>
      <xdr:rowOff>118423</xdr:rowOff>
    </xdr:from>
    <xdr:ext cx="2225306" cy="279948"/>
    <xdr:sp macro="" textlink="">
      <xdr:nvSpPr>
        <xdr:cNvPr id="50" name="TextBox 49">
          <a:extLst>
            <a:ext uri="{FF2B5EF4-FFF2-40B4-BE49-F238E27FC236}">
              <a16:creationId xmlns:a16="http://schemas.microsoft.com/office/drawing/2014/main" id="{609750BE-E3DE-4E4B-B6F3-00CC90EAAC35}"/>
            </a:ext>
          </a:extLst>
        </xdr:cNvPr>
        <xdr:cNvSpPr txBox="1"/>
      </xdr:nvSpPr>
      <xdr:spPr>
        <a:xfrm>
          <a:off x="9571510" y="2691410"/>
          <a:ext cx="222530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OUTLET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SIZE</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14</xdr:col>
      <xdr:colOff>329872</xdr:colOff>
      <xdr:row>15</xdr:row>
      <xdr:rowOff>8247</xdr:rowOff>
    </xdr:from>
    <xdr:to>
      <xdr:col>17</xdr:col>
      <xdr:colOff>544287</xdr:colOff>
      <xdr:row>23</xdr:row>
      <xdr:rowOff>49481</xdr:rowOff>
    </xdr:to>
    <xdr:graphicFrame macro="">
      <xdr:nvGraphicFramePr>
        <xdr:cNvPr id="51" name="Chart 50">
          <a:extLst>
            <a:ext uri="{FF2B5EF4-FFF2-40B4-BE49-F238E27FC236}">
              <a16:creationId xmlns:a16="http://schemas.microsoft.com/office/drawing/2014/main" id="{E75EC10A-3F1B-422C-B570-0E5C2D02A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245825</xdr:colOff>
      <xdr:row>23</xdr:row>
      <xdr:rowOff>53439</xdr:rowOff>
    </xdr:from>
    <xdr:to>
      <xdr:col>21</xdr:col>
      <xdr:colOff>45188</xdr:colOff>
      <xdr:row>23</xdr:row>
      <xdr:rowOff>93115</xdr:rowOff>
    </xdr:to>
    <xdr:cxnSp macro="">
      <xdr:nvCxnSpPr>
        <xdr:cNvPr id="52" name="Straight Connector 51">
          <a:extLst>
            <a:ext uri="{FF2B5EF4-FFF2-40B4-BE49-F238E27FC236}">
              <a16:creationId xmlns:a16="http://schemas.microsoft.com/office/drawing/2014/main" id="{FD44FEC8-92D0-47E6-91C2-1A74EB4DE111}"/>
            </a:ext>
          </a:extLst>
        </xdr:cNvPr>
        <xdr:cNvCxnSpPr/>
      </xdr:nvCxnSpPr>
      <xdr:spPr>
        <a:xfrm flipV="1">
          <a:off x="9482189" y="4605647"/>
          <a:ext cx="4417544" cy="3967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519546</xdr:colOff>
      <xdr:row>13</xdr:row>
      <xdr:rowOff>115455</xdr:rowOff>
    </xdr:from>
    <xdr:to>
      <xdr:col>17</xdr:col>
      <xdr:colOff>519546</xdr:colOff>
      <xdr:row>22</xdr:row>
      <xdr:rowOff>189675</xdr:rowOff>
    </xdr:to>
    <xdr:cxnSp macro="">
      <xdr:nvCxnSpPr>
        <xdr:cNvPr id="53" name="Straight Connector 52">
          <a:extLst>
            <a:ext uri="{FF2B5EF4-FFF2-40B4-BE49-F238E27FC236}">
              <a16:creationId xmlns:a16="http://schemas.microsoft.com/office/drawing/2014/main" id="{067AFD6A-1909-4306-BCDE-92F67DD7B268}"/>
            </a:ext>
          </a:extLst>
        </xdr:cNvPr>
        <xdr:cNvCxnSpPr/>
      </xdr:nvCxnSpPr>
      <xdr:spPr>
        <a:xfrm>
          <a:off x="11735130" y="2688442"/>
          <a:ext cx="0" cy="18555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635002</xdr:colOff>
      <xdr:row>14</xdr:row>
      <xdr:rowOff>90714</xdr:rowOff>
    </xdr:from>
    <xdr:to>
      <xdr:col>20</xdr:col>
      <xdr:colOff>643247</xdr:colOff>
      <xdr:row>23</xdr:row>
      <xdr:rowOff>90713</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14EE86CE-4447-4119-9771-CCCF5DAF55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61802" y="2846614"/>
              <a:ext cx="1989445" cy="17716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578274</xdr:colOff>
      <xdr:row>13</xdr:row>
      <xdr:rowOff>64654</xdr:rowOff>
    </xdr:from>
    <xdr:ext cx="2225306" cy="279948"/>
    <xdr:sp macro="" textlink="">
      <xdr:nvSpPr>
        <xdr:cNvPr id="56" name="TextBox 55">
          <a:extLst>
            <a:ext uri="{FF2B5EF4-FFF2-40B4-BE49-F238E27FC236}">
              <a16:creationId xmlns:a16="http://schemas.microsoft.com/office/drawing/2014/main" id="{C1AEC293-2C1A-4F2A-9557-820E8A16E79A}"/>
            </a:ext>
          </a:extLst>
        </xdr:cNvPr>
        <xdr:cNvSpPr txBox="1"/>
      </xdr:nvSpPr>
      <xdr:spPr>
        <a:xfrm>
          <a:off x="11793858" y="2637641"/>
          <a:ext cx="222530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OUTLET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LOCATION</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14</xdr:col>
      <xdr:colOff>395845</xdr:colOff>
      <xdr:row>23</xdr:row>
      <xdr:rowOff>115453</xdr:rowOff>
    </xdr:from>
    <xdr:to>
      <xdr:col>18</xdr:col>
      <xdr:colOff>42884</xdr:colOff>
      <xdr:row>29</xdr:row>
      <xdr:rowOff>83621</xdr:rowOff>
    </xdr:to>
    <xdr:graphicFrame macro="">
      <xdr:nvGraphicFramePr>
        <xdr:cNvPr id="57" name="Chart 56">
          <a:extLst>
            <a:ext uri="{FF2B5EF4-FFF2-40B4-BE49-F238E27FC236}">
              <a16:creationId xmlns:a16="http://schemas.microsoft.com/office/drawing/2014/main" id="{F8D4129C-F0C9-4701-B568-200126A18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14</xdr:col>
      <xdr:colOff>306118</xdr:colOff>
      <xdr:row>23</xdr:row>
      <xdr:rowOff>72901</xdr:rowOff>
    </xdr:from>
    <xdr:ext cx="2225306" cy="279948"/>
    <xdr:sp macro="" textlink="">
      <xdr:nvSpPr>
        <xdr:cNvPr id="58" name="TextBox 57">
          <a:extLst>
            <a:ext uri="{FF2B5EF4-FFF2-40B4-BE49-F238E27FC236}">
              <a16:creationId xmlns:a16="http://schemas.microsoft.com/office/drawing/2014/main" id="{2AEF2A77-80A9-4EF7-91EC-63BDAA2E155E}"/>
            </a:ext>
          </a:extLst>
        </xdr:cNvPr>
        <xdr:cNvSpPr txBox="1"/>
      </xdr:nvSpPr>
      <xdr:spPr>
        <a:xfrm>
          <a:off x="9542482" y="4625109"/>
          <a:ext cx="222530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OUTLET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TYPE</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twoCellAnchor>
    <xdr:from>
      <xdr:col>17</xdr:col>
      <xdr:colOff>560777</xdr:colOff>
      <xdr:row>23</xdr:row>
      <xdr:rowOff>164933</xdr:rowOff>
    </xdr:from>
    <xdr:to>
      <xdr:col>21</xdr:col>
      <xdr:colOff>107205</xdr:colOff>
      <xdr:row>29</xdr:row>
      <xdr:rowOff>123700</xdr:rowOff>
    </xdr:to>
    <xdr:graphicFrame macro="">
      <xdr:nvGraphicFramePr>
        <xdr:cNvPr id="59" name="Chart 58">
          <a:extLst>
            <a:ext uri="{FF2B5EF4-FFF2-40B4-BE49-F238E27FC236}">
              <a16:creationId xmlns:a16="http://schemas.microsoft.com/office/drawing/2014/main" id="{F78B25B8-9106-42E5-A6E8-42A61497C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181426</xdr:colOff>
      <xdr:row>23</xdr:row>
      <xdr:rowOff>107208</xdr:rowOff>
    </xdr:from>
    <xdr:to>
      <xdr:col>20</xdr:col>
      <xdr:colOff>651491</xdr:colOff>
      <xdr:row>29</xdr:row>
      <xdr:rowOff>131948</xdr:rowOff>
    </xdr:to>
    <xdr:graphicFrame macro="">
      <xdr:nvGraphicFramePr>
        <xdr:cNvPr id="60" name="Chart 59">
          <a:extLst>
            <a:ext uri="{FF2B5EF4-FFF2-40B4-BE49-F238E27FC236}">
              <a16:creationId xmlns:a16="http://schemas.microsoft.com/office/drawing/2014/main" id="{A465C12D-2FF7-4782-8F05-358FB9D64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15</xdr:col>
      <xdr:colOff>598710</xdr:colOff>
      <xdr:row>28</xdr:row>
      <xdr:rowOff>175820</xdr:rowOff>
    </xdr:from>
    <xdr:ext cx="1133105" cy="279948"/>
    <xdr:sp macro="" textlink="">
      <xdr:nvSpPr>
        <xdr:cNvPr id="61" name="TextBox 60">
          <a:extLst>
            <a:ext uri="{FF2B5EF4-FFF2-40B4-BE49-F238E27FC236}">
              <a16:creationId xmlns:a16="http://schemas.microsoft.com/office/drawing/2014/main" id="{BE6E7ED9-0AD1-4183-A009-FBB116076C46}"/>
            </a:ext>
          </a:extLst>
        </xdr:cNvPr>
        <xdr:cNvSpPr txBox="1"/>
      </xdr:nvSpPr>
      <xdr:spPr>
        <a:xfrm>
          <a:off x="10494814" y="5717638"/>
          <a:ext cx="113310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chemeClr val="accent1">
                  <a:lumMod val="75000"/>
                </a:schemeClr>
              </a:solidFill>
              <a:latin typeface="Segoe UI Semibold" panose="020B0702040204020203" pitchFamily="34" charset="0"/>
              <a:cs typeface="Segoe UI Semibold" panose="020B0702040204020203" pitchFamily="34" charset="0"/>
            </a:rPr>
            <a:t>TOTAL</a:t>
          </a:r>
          <a:r>
            <a:rPr lang="en-US" sz="1100" b="1" i="0" u="none" strike="noStrike" baseline="0">
              <a:solidFill>
                <a:schemeClr val="accent1">
                  <a:lumMod val="75000"/>
                </a:schemeClr>
              </a:solidFill>
              <a:latin typeface="Segoe UI Semibold" panose="020B0702040204020203" pitchFamily="34" charset="0"/>
              <a:cs typeface="Segoe UI Semibold" panose="020B0702040204020203" pitchFamily="34" charset="0"/>
            </a:rPr>
            <a:t> SALES</a:t>
          </a:r>
          <a:endParaRPr lang="en-US" sz="1100" b="1" i="0" u="none" strike="noStrike">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17</xdr:col>
      <xdr:colOff>454230</xdr:colOff>
      <xdr:row>28</xdr:row>
      <xdr:rowOff>188022</xdr:rowOff>
    </xdr:from>
    <xdr:ext cx="1133105" cy="279948"/>
    <xdr:sp macro="" textlink="">
      <xdr:nvSpPr>
        <xdr:cNvPr id="62" name="TextBox 61">
          <a:extLst>
            <a:ext uri="{FF2B5EF4-FFF2-40B4-BE49-F238E27FC236}">
              <a16:creationId xmlns:a16="http://schemas.microsoft.com/office/drawing/2014/main" id="{76668D70-AD4C-4092-8E66-FF2406CFFEB3}"/>
            </a:ext>
          </a:extLst>
        </xdr:cNvPr>
        <xdr:cNvSpPr txBox="1"/>
      </xdr:nvSpPr>
      <xdr:spPr>
        <a:xfrm>
          <a:off x="11669814" y="5729840"/>
          <a:ext cx="113310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baseline="0">
              <a:solidFill>
                <a:schemeClr val="accent1">
                  <a:lumMod val="75000"/>
                </a:schemeClr>
              </a:solidFill>
              <a:latin typeface="Segoe UI Semibold" panose="020B0702040204020203" pitchFamily="34" charset="0"/>
              <a:cs typeface="Segoe UI Semibold" panose="020B0702040204020203" pitchFamily="34" charset="0"/>
            </a:rPr>
            <a:t>AVG SALES</a:t>
          </a:r>
          <a:endParaRPr lang="en-US" sz="1100" b="1" i="0" u="none" strike="noStrike">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18</xdr:col>
      <xdr:colOff>590137</xdr:colOff>
      <xdr:row>28</xdr:row>
      <xdr:rowOff>191976</xdr:rowOff>
    </xdr:from>
    <xdr:ext cx="1133105" cy="279948"/>
    <xdr:sp macro="" textlink="">
      <xdr:nvSpPr>
        <xdr:cNvPr id="63" name="TextBox 62">
          <a:extLst>
            <a:ext uri="{FF2B5EF4-FFF2-40B4-BE49-F238E27FC236}">
              <a16:creationId xmlns:a16="http://schemas.microsoft.com/office/drawing/2014/main" id="{34F35BEB-C6DB-451C-9B28-22B146367E1F}"/>
            </a:ext>
          </a:extLst>
        </xdr:cNvPr>
        <xdr:cNvSpPr txBox="1"/>
      </xdr:nvSpPr>
      <xdr:spPr>
        <a:xfrm>
          <a:off x="12465462" y="5733794"/>
          <a:ext cx="113310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baseline="0">
              <a:solidFill>
                <a:schemeClr val="accent1">
                  <a:lumMod val="75000"/>
                </a:schemeClr>
              </a:solidFill>
              <a:latin typeface="Segoe UI Semibold" panose="020B0702040204020203" pitchFamily="34" charset="0"/>
              <a:cs typeface="Segoe UI Semibold" panose="020B0702040204020203" pitchFamily="34" charset="0"/>
            </a:rPr>
            <a:t>NO OF ITEMS</a:t>
          </a:r>
          <a:endParaRPr lang="en-US" sz="1100" b="1" i="0" u="none" strike="noStrike">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2</xdr:col>
      <xdr:colOff>280390</xdr:colOff>
      <xdr:row>5</xdr:row>
      <xdr:rowOff>119186</xdr:rowOff>
    </xdr:from>
    <xdr:to>
      <xdr:col>2</xdr:col>
      <xdr:colOff>620902</xdr:colOff>
      <xdr:row>7</xdr:row>
      <xdr:rowOff>65974</xdr:rowOff>
    </xdr:to>
    <xdr:pic>
      <xdr:nvPicPr>
        <xdr:cNvPr id="65" name="Picture 64" descr="C:\Users\Dell\AppData\Local\Temp\e3f59073-d8b6-48c5-abef-bf1336b9435b_Images Used-20251102T164218Z-1-001.zip.35b\Images Used\setting.png">
          <a:extLst>
            <a:ext uri="{FF2B5EF4-FFF2-40B4-BE49-F238E27FC236}">
              <a16:creationId xmlns:a16="http://schemas.microsoft.com/office/drawing/2014/main" id="{311194A1-F297-476C-B52B-2645955CBE0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99871" y="1108796"/>
          <a:ext cx="340512" cy="34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104845</xdr:colOff>
      <xdr:row>1</xdr:row>
      <xdr:rowOff>82466</xdr:rowOff>
    </xdr:from>
    <xdr:ext cx="1781300" cy="279948"/>
    <xdr:sp macro="" textlink="">
      <xdr:nvSpPr>
        <xdr:cNvPr id="66" name="TextBox 65">
          <a:extLst>
            <a:ext uri="{FF2B5EF4-FFF2-40B4-BE49-F238E27FC236}">
              <a16:creationId xmlns:a16="http://schemas.microsoft.com/office/drawing/2014/main" id="{AA9C55F8-DB34-402F-BAAD-5EB8532919E0}"/>
            </a:ext>
          </a:extLst>
        </xdr:cNvPr>
        <xdr:cNvSpPr txBox="1"/>
      </xdr:nvSpPr>
      <xdr:spPr>
        <a:xfrm>
          <a:off x="1424326" y="280388"/>
          <a:ext cx="178130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u="none" strike="noStrike">
              <a:solidFill>
                <a:srgbClr val="000000"/>
              </a:solidFill>
              <a:latin typeface="Segoe UI Semibold" panose="020B0702040204020203" pitchFamily="34" charset="0"/>
              <a:cs typeface="Segoe UI Semibold" panose="020B0702040204020203" pitchFamily="34" charset="0"/>
            </a:rPr>
            <a:t>FAT</a:t>
          </a:r>
          <a:r>
            <a:rPr lang="en-US" sz="1100" b="1" i="0" u="none" strike="noStrike" baseline="0">
              <a:solidFill>
                <a:srgbClr val="000000"/>
              </a:solidFill>
              <a:latin typeface="Segoe UI Semibold" panose="020B0702040204020203" pitchFamily="34" charset="0"/>
              <a:cs typeface="Segoe UI Semibold" panose="020B0702040204020203" pitchFamily="34" charset="0"/>
            </a:rPr>
            <a:t> CONTENT</a:t>
          </a:r>
          <a:endParaRPr lang="en-US" sz="1100" b="1" i="0" u="none" strike="noStrike">
            <a:solidFill>
              <a:srgbClr val="000000"/>
            </a:solidFill>
            <a:latin typeface="Segoe UI Semibold" panose="020B0702040204020203" pitchFamily="34" charset="0"/>
            <a:cs typeface="Segoe UI Semibold" panose="020B0702040204020203" pitchFamily="34" charset="0"/>
          </a:endParaRPr>
        </a:p>
      </xdr:txBody>
    </xdr:sp>
    <xdr:clientData/>
  </xdr:oneCellAnchor>
  <xdr:oneCellAnchor>
    <xdr:from>
      <xdr:col>2</xdr:col>
      <xdr:colOff>300841</xdr:colOff>
      <xdr:row>5</xdr:row>
      <xdr:rowOff>168894</xdr:rowOff>
    </xdr:from>
    <xdr:ext cx="1903369" cy="269369"/>
    <xdr:sp macro="" textlink="">
      <xdr:nvSpPr>
        <xdr:cNvPr id="67" name="TextBox 66">
          <a:extLst>
            <a:ext uri="{FF2B5EF4-FFF2-40B4-BE49-F238E27FC236}">
              <a16:creationId xmlns:a16="http://schemas.microsoft.com/office/drawing/2014/main" id="{8B3F21AA-5787-4914-9FDB-E8E19CBC1BBE}"/>
            </a:ext>
          </a:extLst>
        </xdr:cNvPr>
        <xdr:cNvSpPr txBox="1"/>
      </xdr:nvSpPr>
      <xdr:spPr>
        <a:xfrm>
          <a:off x="1620322" y="1158504"/>
          <a:ext cx="19033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tx1"/>
              </a:solidFill>
              <a:latin typeface="Arial" panose="020B0604020202020204" pitchFamily="34" charset="0"/>
              <a:ea typeface="Segoe UI Black" panose="020B0A02040204020203" pitchFamily="34" charset="0"/>
              <a:cs typeface="Arial" panose="020B0604020202020204" pitchFamily="34" charset="0"/>
            </a:rPr>
            <a:t>FILTER</a:t>
          </a:r>
          <a:r>
            <a:rPr lang="en-US"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PANEL</a:t>
          </a:r>
          <a:endParaRPr lang="en-US" sz="1200" b="1">
            <a:solidFill>
              <a:schemeClr val="accent6">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oneCellAnchor>
  <xdr:twoCellAnchor editAs="oneCell">
    <xdr:from>
      <xdr:col>2</xdr:col>
      <xdr:colOff>212053</xdr:colOff>
      <xdr:row>13</xdr:row>
      <xdr:rowOff>24738</xdr:rowOff>
    </xdr:from>
    <xdr:to>
      <xdr:col>5</xdr:col>
      <xdr:colOff>61633</xdr:colOff>
      <xdr:row>19</xdr:row>
      <xdr:rowOff>98961</xdr:rowOff>
    </xdr:to>
    <mc:AlternateContent xmlns:mc="http://schemas.openxmlformats.org/markup-compatibility/2006">
      <mc:Choice xmlns:a14="http://schemas.microsoft.com/office/drawing/2010/main" Requires="a14">
        <xdr:graphicFrame macro="">
          <xdr:nvGraphicFramePr>
            <xdr:cNvPr id="68" name="Outlet Location Type 1">
              <a:extLst>
                <a:ext uri="{FF2B5EF4-FFF2-40B4-BE49-F238E27FC236}">
                  <a16:creationId xmlns:a16="http://schemas.microsoft.com/office/drawing/2014/main" id="{E8EE4905-3E12-4BBF-80C1-FFED36E3F88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31534" y="2597725"/>
              <a:ext cx="1828800" cy="126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220300</xdr:colOff>
      <xdr:row>19</xdr:row>
      <xdr:rowOff>24740</xdr:rowOff>
    </xdr:from>
    <xdr:to>
      <xdr:col>5</xdr:col>
      <xdr:colOff>69880</xdr:colOff>
      <xdr:row>29</xdr:row>
      <xdr:rowOff>156689</xdr:rowOff>
    </xdr:to>
    <mc:AlternateContent xmlns:mc="http://schemas.openxmlformats.org/markup-compatibility/2006">
      <mc:Choice xmlns:a14="http://schemas.microsoft.com/office/drawing/2010/main" Requires="a14">
        <xdr:graphicFrame macro="">
          <xdr:nvGraphicFramePr>
            <xdr:cNvPr id="69" name="Item Type 1">
              <a:extLst>
                <a:ext uri="{FF2B5EF4-FFF2-40B4-BE49-F238E27FC236}">
                  <a16:creationId xmlns:a16="http://schemas.microsoft.com/office/drawing/2014/main" id="{27C39DD0-EA25-4D3F-BFC5-B93CEC6251F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539781" y="3785259"/>
              <a:ext cx="1828800" cy="2111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3.939433449072" createdVersion="6" refreshedVersion="6" minRefreshableVersion="3" recordCount="8523" xr:uid="{C334B926-78A5-4F95-87E5-47DB7645CB0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15211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7329C5-8AC9-4F7D-9294-3C9E96D2BBB8}" name="PivotTable1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8">
  <location ref="A81:B8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8">
    <format dxfId="1557">
      <pivotArea type="all" dataOnly="0" outline="0" fieldPosition="0"/>
    </format>
    <format dxfId="1556">
      <pivotArea type="all" dataOnly="0" outline="0" fieldPosition="0"/>
    </format>
    <format dxfId="1555">
      <pivotArea field="0" type="button" dataOnly="0" labelOnly="1" outline="0"/>
    </format>
    <format dxfId="1554">
      <pivotArea dataOnly="0" labelOnly="1" grandRow="1" outline="0" fieldPosition="0"/>
    </format>
    <format dxfId="1553">
      <pivotArea type="all" dataOnly="0" outline="0" fieldPosition="0"/>
    </format>
    <format dxfId="1552">
      <pivotArea type="origin" dataOnly="0" labelOnly="1" outline="0" fieldPosition="0"/>
    </format>
    <format dxfId="1551">
      <pivotArea field="0" type="button" dataOnly="0" labelOnly="1" outline="0"/>
    </format>
    <format dxfId="1550">
      <pivotArea type="topRight" dataOnly="0" labelOnly="1" outline="0" fieldPosition="0"/>
    </format>
    <format dxfId="1549">
      <pivotArea type="all" dataOnly="0" outline="0" fieldPosition="0"/>
    </format>
    <format dxfId="1548">
      <pivotArea outline="0" collapsedLevelsAreSubtotals="1" fieldPosition="0"/>
    </format>
    <format dxfId="1547">
      <pivotArea field="6" type="button" dataOnly="0" labelOnly="1" outline="0"/>
    </format>
    <format dxfId="1546">
      <pivotArea dataOnly="0" labelOnly="1" outline="0" axis="axisValues" fieldPosition="0"/>
    </format>
    <format dxfId="1545">
      <pivotArea outline="0" collapsedLevelsAreSubtotals="1" fieldPosition="0"/>
    </format>
    <format dxfId="1544">
      <pivotArea type="all" dataOnly="0" outline="0" fieldPosition="0"/>
    </format>
    <format dxfId="1543">
      <pivotArea outline="0" collapsedLevelsAreSubtotals="1" fieldPosition="0"/>
    </format>
    <format dxfId="1542">
      <pivotArea field="8" type="button" dataOnly="0" labelOnly="1" outline="0" axis="axisRow" fieldPosition="0"/>
    </format>
    <format dxfId="1541">
      <pivotArea dataOnly="0" labelOnly="1" fieldPosition="0">
        <references count="1">
          <reference field="8" count="0"/>
        </references>
      </pivotArea>
    </format>
    <format dxfId="1540">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53646-CF22-4E10-B76C-EF295C4C1A92}"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24:B4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9">
    <format dxfId="1576">
      <pivotArea type="all" dataOnly="0" outline="0" fieldPosition="0"/>
    </format>
    <format dxfId="1575">
      <pivotArea outline="0" collapsedLevelsAreSubtotals="1" fieldPosition="0"/>
    </format>
    <format dxfId="1574">
      <pivotArea type="all" dataOnly="0" outline="0" fieldPosition="0"/>
    </format>
    <format dxfId="1573">
      <pivotArea outline="0" collapsedLevelsAreSubtotals="1" fieldPosition="0"/>
    </format>
    <format dxfId="1572">
      <pivotArea field="0" type="button" dataOnly="0" labelOnly="1" outline="0"/>
    </format>
    <format dxfId="1571">
      <pivotArea dataOnly="0" labelOnly="1" grandRow="1" outline="0" fieldPosition="0"/>
    </format>
    <format dxfId="1570">
      <pivotArea dataOnly="0" labelOnly="1" outline="0" axis="axisValues" fieldPosition="0"/>
    </format>
    <format dxfId="1569">
      <pivotArea type="all" dataOnly="0" outline="0" fieldPosition="0"/>
    </format>
    <format dxfId="1568">
      <pivotArea type="origin" dataOnly="0" labelOnly="1" outline="0" fieldPosition="0"/>
    </format>
    <format dxfId="1567">
      <pivotArea field="0" type="button" dataOnly="0" labelOnly="1" outline="0"/>
    </format>
    <format dxfId="1566">
      <pivotArea type="topRight" dataOnly="0" labelOnly="1" outline="0" fieldPosition="0"/>
    </format>
    <format dxfId="1565">
      <pivotArea field="6" type="button" dataOnly="0" labelOnly="1" outline="0"/>
    </format>
    <format dxfId="1564">
      <pivotArea collapsedLevelsAreSubtotals="1" fieldPosition="0">
        <references count="1">
          <reference field="3" count="1">
            <x v="0"/>
          </reference>
        </references>
      </pivotArea>
    </format>
    <format dxfId="1563">
      <pivotArea outline="0" fieldPosition="0">
        <references count="1">
          <reference field="4294967294" count="1">
            <x v="0"/>
          </reference>
        </references>
      </pivotArea>
    </format>
    <format dxfId="1562">
      <pivotArea type="all" dataOnly="0" outline="0" fieldPosition="0"/>
    </format>
    <format dxfId="1561">
      <pivotArea outline="0" collapsedLevelsAreSubtotals="1" fieldPosition="0"/>
    </format>
    <format dxfId="1560">
      <pivotArea field="3" type="button" dataOnly="0" labelOnly="1" outline="0" axis="axisRow" fieldPosition="0"/>
    </format>
    <format dxfId="1559">
      <pivotArea dataOnly="0" labelOnly="1" fieldPosition="0">
        <references count="1">
          <reference field="3" count="0"/>
        </references>
      </pivotArea>
    </format>
    <format dxfId="155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B6B506-8B9D-4284-A123-B118A5F95AFC}"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5">
  <location ref="A74: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8">
    <format dxfId="1594">
      <pivotArea type="all" dataOnly="0" outline="0" fieldPosition="0"/>
    </format>
    <format dxfId="1593">
      <pivotArea type="all" dataOnly="0" outline="0" fieldPosition="0"/>
    </format>
    <format dxfId="1592">
      <pivotArea field="0" type="button" dataOnly="0" labelOnly="1" outline="0"/>
    </format>
    <format dxfId="1591">
      <pivotArea dataOnly="0" labelOnly="1" grandRow="1" outline="0" fieldPosition="0"/>
    </format>
    <format dxfId="1590">
      <pivotArea type="all" dataOnly="0" outline="0" fieldPosition="0"/>
    </format>
    <format dxfId="1589">
      <pivotArea type="origin" dataOnly="0" labelOnly="1" outline="0" fieldPosition="0"/>
    </format>
    <format dxfId="1588">
      <pivotArea field="0" type="button" dataOnly="0" labelOnly="1" outline="0"/>
    </format>
    <format dxfId="1587">
      <pivotArea type="topRight" dataOnly="0" labelOnly="1" outline="0" fieldPosition="0"/>
    </format>
    <format dxfId="1586">
      <pivotArea outline="0" fieldPosition="0">
        <references count="1">
          <reference field="4294967294" count="1">
            <x v="0"/>
          </reference>
        </references>
      </pivotArea>
    </format>
    <format dxfId="1585">
      <pivotArea type="all" dataOnly="0" outline="0" fieldPosition="0"/>
    </format>
    <format dxfId="1584">
      <pivotArea outline="0" collapsedLevelsAreSubtotals="1" fieldPosition="0"/>
    </format>
    <format dxfId="1583">
      <pivotArea field="6" type="button" dataOnly="0" labelOnly="1" outline="0"/>
    </format>
    <format dxfId="1582">
      <pivotArea dataOnly="0" labelOnly="1" outline="0" axis="axisValues" fieldPosition="0"/>
    </format>
    <format dxfId="1581">
      <pivotArea type="all" dataOnly="0" outline="0" fieldPosition="0"/>
    </format>
    <format dxfId="1580">
      <pivotArea outline="0" collapsedLevelsAreSubtotals="1" fieldPosition="0"/>
    </format>
    <format dxfId="1579">
      <pivotArea field="8" type="button" dataOnly="0" labelOnly="1" outline="0" axis="axisRow" fieldPosition="0"/>
    </format>
    <format dxfId="1578">
      <pivotArea dataOnly="0" labelOnly="1" fieldPosition="0">
        <references count="1">
          <reference field="8" count="0"/>
        </references>
      </pivotArea>
    </format>
    <format dxfId="1577">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3"/>
          </reference>
        </references>
      </pivotArea>
    </chartFormat>
    <chartFormat chart="24"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049A37-D993-4BFA-B60D-E8FD08E05B6C}"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A17:C2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5">
    <format dxfId="1609">
      <pivotArea type="all" dataOnly="0" outline="0" fieldPosition="0"/>
    </format>
    <format dxfId="1608">
      <pivotArea outline="0" collapsedLevelsAreSubtotals="1" fieldPosition="0"/>
    </format>
    <format dxfId="1607">
      <pivotArea type="all" dataOnly="0" outline="0" fieldPosition="0"/>
    </format>
    <format dxfId="1606">
      <pivotArea outline="0" collapsedLevelsAreSubtotals="1" fieldPosition="0"/>
    </format>
    <format dxfId="1605">
      <pivotArea field="0" type="button" dataOnly="0" labelOnly="1" outline="0" axis="axisCol" fieldPosition="0"/>
    </format>
    <format dxfId="1604">
      <pivotArea dataOnly="0" labelOnly="1" grandRow="1" outline="0" fieldPosition="0"/>
    </format>
    <format dxfId="1603">
      <pivotArea dataOnly="0" labelOnly="1" outline="0" axis="axisValues" fieldPosition="0"/>
    </format>
    <format dxfId="1602">
      <pivotArea type="all" dataOnly="0" outline="0" fieldPosition="0"/>
    </format>
    <format dxfId="1601">
      <pivotArea outline="0" collapsedLevelsAreSubtotals="1" fieldPosition="0"/>
    </format>
    <format dxfId="1600">
      <pivotArea type="origin" dataOnly="0" labelOnly="1" outline="0" fieldPosition="0"/>
    </format>
    <format dxfId="1599">
      <pivotArea field="0" type="button" dataOnly="0" labelOnly="1" outline="0" axis="axisCol" fieldPosition="0"/>
    </format>
    <format dxfId="1598">
      <pivotArea type="topRight" dataOnly="0" labelOnly="1" outline="0" fieldPosition="0"/>
    </format>
    <format dxfId="1597">
      <pivotArea field="6" type="button" dataOnly="0" labelOnly="1" outline="0" axis="axisRow" fieldPosition="0"/>
    </format>
    <format dxfId="1596">
      <pivotArea dataOnly="0" labelOnly="1" fieldPosition="0">
        <references count="1">
          <reference field="6" count="0"/>
        </references>
      </pivotArea>
    </format>
    <format dxfId="1595">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3">
          <reference field="4294967294" count="1" selected="0">
            <x v="0"/>
          </reference>
          <reference field="0" count="1" selected="0">
            <x v="1"/>
          </reference>
          <reference field="6" count="1" selected="0">
            <x v="2"/>
          </reference>
        </references>
      </pivotArea>
    </chartFormat>
    <chartFormat chart="12" format="7">
      <pivotArea type="data" outline="0" fieldPosition="0">
        <references count="3">
          <reference field="4294967294" count="1" selected="0">
            <x v="0"/>
          </reference>
          <reference field="0" count="1" selected="0">
            <x v="1"/>
          </reference>
          <reference field="6" count="1" selected="0">
            <x v="1"/>
          </reference>
        </references>
      </pivotArea>
    </chartFormat>
    <chartFormat chart="12" format="8">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8D2103-CA55-4AC4-89E0-A6DB1F18AB9C}"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location ref="A8:B1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1">
    <format dxfId="1620">
      <pivotArea type="all" dataOnly="0" outline="0" fieldPosition="0"/>
    </format>
    <format dxfId="1619">
      <pivotArea outline="0" collapsedLevelsAreSubtotals="1" fieldPosition="0"/>
    </format>
    <format dxfId="1618">
      <pivotArea type="all" dataOnly="0" outline="0" fieldPosition="0"/>
    </format>
    <format dxfId="1617">
      <pivotArea outline="0" collapsedLevelsAreSubtotals="1" fieldPosition="0"/>
    </format>
    <format dxfId="1616">
      <pivotArea type="all" dataOnly="0" outline="0" fieldPosition="0"/>
    </format>
    <format dxfId="1615">
      <pivotArea outline="0" collapsedLevelsAreSubtotals="1" fieldPosition="0"/>
    </format>
    <format dxfId="1614">
      <pivotArea field="0" type="button" dataOnly="0" labelOnly="1" outline="0" axis="axisRow" fieldPosition="0"/>
    </format>
    <format dxfId="1613">
      <pivotArea dataOnly="0" labelOnly="1" fieldPosition="0">
        <references count="1">
          <reference field="0" count="0"/>
        </references>
      </pivotArea>
    </format>
    <format dxfId="1612">
      <pivotArea dataOnly="0" labelOnly="1" grandRow="1" outline="0" fieldPosition="0"/>
    </format>
    <format dxfId="1611">
      <pivotArea dataOnly="0" labelOnly="1" outline="0" axis="axisValues" fieldPosition="0"/>
    </format>
    <format dxfId="1610">
      <pivotArea collapsedLevelsAreSubtotals="1" fieldPosition="0">
        <references count="1">
          <reference field="0" count="1">
            <x v="1"/>
          </reference>
        </references>
      </pivotArea>
    </format>
  </formats>
  <chartFormats count="6">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F4B85-903C-4B2D-9863-7402432F5878}"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location ref="A65: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14">
    <format dxfId="1634">
      <pivotArea type="all" dataOnly="0" outline="0" fieldPosition="0"/>
    </format>
    <format dxfId="1633">
      <pivotArea type="all" dataOnly="0" outline="0" fieldPosition="0"/>
    </format>
    <format dxfId="1632">
      <pivotArea field="0" type="button" dataOnly="0" labelOnly="1" outline="0"/>
    </format>
    <format dxfId="1631">
      <pivotArea dataOnly="0" labelOnly="1" grandRow="1" outline="0" fieldPosition="0"/>
    </format>
    <format dxfId="1630">
      <pivotArea type="all" dataOnly="0" outline="0" fieldPosition="0"/>
    </format>
    <format dxfId="1629">
      <pivotArea type="origin" dataOnly="0" labelOnly="1" outline="0" fieldPosition="0"/>
    </format>
    <format dxfId="1628">
      <pivotArea field="0" type="button" dataOnly="0" labelOnly="1" outline="0"/>
    </format>
    <format dxfId="1627">
      <pivotArea type="topRight" dataOnly="0" labelOnly="1" outline="0" fieldPosition="0"/>
    </format>
    <format dxfId="1626">
      <pivotArea outline="0" fieldPosition="0">
        <references count="1">
          <reference field="4294967294" count="1">
            <x v="0"/>
          </reference>
        </references>
      </pivotArea>
    </format>
    <format dxfId="1625">
      <pivotArea type="all" dataOnly="0" outline="0" fieldPosition="0"/>
    </format>
    <format dxfId="1624">
      <pivotArea outline="0" collapsedLevelsAreSubtotals="1" fieldPosition="0"/>
    </format>
    <format dxfId="1623">
      <pivotArea field="6" type="button" dataOnly="0" labelOnly="1" outline="0" axis="axisRow" fieldPosition="0"/>
    </format>
    <format dxfId="1622">
      <pivotArea dataOnly="0" labelOnly="1" fieldPosition="0">
        <references count="1">
          <reference field="6" count="0"/>
        </references>
      </pivotArea>
    </format>
    <format dxfId="162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ADE403-8347-43CD-A5F9-BEC4A0D81E4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D3"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Number of Items" fld="1" subtotal="count" baseField="0" baseItem="1"/>
    <dataField name="Average of Sales" fld="11" subtotal="average" baseField="0" baseItem="1"/>
  </dataFields>
  <formats count="6">
    <format dxfId="1640">
      <pivotArea type="all" dataOnly="0" outline="0" fieldPosition="0"/>
    </format>
    <format dxfId="1639">
      <pivotArea outline="0" collapsedLevelsAreSubtotals="1" fieldPosition="0"/>
    </format>
    <format dxfId="1638">
      <pivotArea dataOnly="0" labelOnly="1" outline="0" fieldPosition="0">
        <references count="1">
          <reference field="4294967294" count="4">
            <x v="0"/>
            <x v="1"/>
            <x v="2"/>
            <x v="3"/>
          </reference>
        </references>
      </pivotArea>
    </format>
    <format dxfId="1637">
      <pivotArea type="all" dataOnly="0" outline="0" fieldPosition="0"/>
    </format>
    <format dxfId="1636">
      <pivotArea outline="0" collapsedLevelsAreSubtotals="1" fieldPosition="0"/>
    </format>
    <format dxfId="16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CB175C-A554-48AB-B494-B399AFAA2A5B}"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location ref="A56:B5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9">
    <format dxfId="1659">
      <pivotArea type="all" dataOnly="0" outline="0" fieldPosition="0"/>
    </format>
    <format dxfId="1658">
      <pivotArea type="all" dataOnly="0" outline="0" fieldPosition="0"/>
    </format>
    <format dxfId="1657">
      <pivotArea field="0" type="button" dataOnly="0" labelOnly="1" outline="0"/>
    </format>
    <format dxfId="1656">
      <pivotArea dataOnly="0" labelOnly="1" grandRow="1" outline="0" fieldPosition="0"/>
    </format>
    <format dxfId="1655">
      <pivotArea type="all" dataOnly="0" outline="0" fieldPosition="0"/>
    </format>
    <format dxfId="1654">
      <pivotArea type="origin" dataOnly="0" labelOnly="1" outline="0" fieldPosition="0"/>
    </format>
    <format dxfId="1653">
      <pivotArea field="0" type="button" dataOnly="0" labelOnly="1" outline="0"/>
    </format>
    <format dxfId="1652">
      <pivotArea type="topRight" dataOnly="0" labelOnly="1" outline="0" fieldPosition="0"/>
    </format>
    <format dxfId="1651">
      <pivotArea field="6" type="button" dataOnly="0" labelOnly="1" outline="0"/>
    </format>
    <format dxfId="1650">
      <pivotArea outline="0" fieldPosition="0">
        <references count="1">
          <reference field="4294967294" count="1">
            <x v="0"/>
          </reference>
        </references>
      </pivotArea>
    </format>
    <format dxfId="1649">
      <pivotArea type="all" dataOnly="0" outline="0" fieldPosition="0"/>
    </format>
    <format dxfId="1648">
      <pivotArea outline="0" collapsedLevelsAreSubtotals="1" fieldPosition="0"/>
    </format>
    <format dxfId="1647">
      <pivotArea field="4" type="button" dataOnly="0" labelOnly="1" outline="0"/>
    </format>
    <format dxfId="1646">
      <pivotArea dataOnly="0" labelOnly="1" outline="0" axis="axisValues" fieldPosition="0"/>
    </format>
    <format dxfId="1645">
      <pivotArea type="all" dataOnly="0" outline="0" fieldPosition="0"/>
    </format>
    <format dxfId="1644">
      <pivotArea outline="0" collapsedLevelsAreSubtotals="1" fieldPosition="0"/>
    </format>
    <format dxfId="1643">
      <pivotArea field="7" type="button" dataOnly="0" labelOnly="1" outline="0" axis="axisRow" fieldPosition="0"/>
    </format>
    <format dxfId="1642">
      <pivotArea dataOnly="0" labelOnly="1" fieldPosition="0">
        <references count="1">
          <reference field="7" count="0"/>
        </references>
      </pivotArea>
    </format>
    <format dxfId="1641">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 chart="21"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A68795-CF4A-4E6D-B8BD-6C879C8A164E}"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A43:B5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5">
    <format dxfId="1674">
      <pivotArea type="all" dataOnly="0" outline="0" fieldPosition="0"/>
    </format>
    <format dxfId="1673">
      <pivotArea type="all" dataOnly="0" outline="0" fieldPosition="0"/>
    </format>
    <format dxfId="1672">
      <pivotArea field="0" type="button" dataOnly="0" labelOnly="1" outline="0"/>
    </format>
    <format dxfId="1671">
      <pivotArea dataOnly="0" labelOnly="1" grandRow="1" outline="0" fieldPosition="0"/>
    </format>
    <format dxfId="1670">
      <pivotArea type="all" dataOnly="0" outline="0" fieldPosition="0"/>
    </format>
    <format dxfId="1669">
      <pivotArea type="origin" dataOnly="0" labelOnly="1" outline="0" fieldPosition="0"/>
    </format>
    <format dxfId="1668">
      <pivotArea field="0" type="button" dataOnly="0" labelOnly="1" outline="0"/>
    </format>
    <format dxfId="1667">
      <pivotArea type="topRight" dataOnly="0" labelOnly="1" outline="0" fieldPosition="0"/>
    </format>
    <format dxfId="1666">
      <pivotArea field="6" type="button" dataOnly="0" labelOnly="1" outline="0"/>
    </format>
    <format dxfId="1665">
      <pivotArea outline="0" fieldPosition="0">
        <references count="1">
          <reference field="4294967294" count="1">
            <x v="0"/>
          </reference>
        </references>
      </pivotArea>
    </format>
    <format dxfId="1664">
      <pivotArea type="all" dataOnly="0" outline="0" fieldPosition="0"/>
    </format>
    <format dxfId="1663">
      <pivotArea outline="0" collapsedLevelsAreSubtotals="1" fieldPosition="0"/>
    </format>
    <format dxfId="1662">
      <pivotArea field="4" type="button" dataOnly="0" labelOnly="1" outline="0" axis="axisRow" fieldPosition="0"/>
    </format>
    <format dxfId="1661">
      <pivotArea dataOnly="0" labelOnly="1" fieldPosition="0">
        <references count="1">
          <reference field="4" count="0"/>
        </references>
      </pivotArea>
    </format>
    <format dxfId="1660">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1"/>
          </reference>
        </references>
      </pivotArea>
    </chartFormat>
    <chartFormat chart="18" format="4">
      <pivotArea type="data" outline="0" fieldPosition="0">
        <references count="2">
          <reference field="4294967294" count="1" selected="0">
            <x v="0"/>
          </reference>
          <reference field="4" count="1" selected="0">
            <x v="0"/>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39B704-0EAA-4C8F-BD88-1659D1F55D66}"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2">
  <location ref="A88:B9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9">
    <format dxfId="1693">
      <pivotArea type="all" dataOnly="0" outline="0" fieldPosition="0"/>
    </format>
    <format dxfId="1692">
      <pivotArea type="all" dataOnly="0" outline="0" fieldPosition="0"/>
    </format>
    <format dxfId="1691">
      <pivotArea field="0" type="button" dataOnly="0" labelOnly="1" outline="0"/>
    </format>
    <format dxfId="1690">
      <pivotArea dataOnly="0" labelOnly="1" grandRow="1" outline="0" fieldPosition="0"/>
    </format>
    <format dxfId="1689">
      <pivotArea type="all" dataOnly="0" outline="0" fieldPosition="0"/>
    </format>
    <format dxfId="1688">
      <pivotArea type="origin" dataOnly="0" labelOnly="1" outline="0" fieldPosition="0"/>
    </format>
    <format dxfId="1687">
      <pivotArea field="0" type="button" dataOnly="0" labelOnly="1" outline="0"/>
    </format>
    <format dxfId="1686">
      <pivotArea type="topRight" dataOnly="0" labelOnly="1" outline="0" fieldPosition="0"/>
    </format>
    <format dxfId="1685">
      <pivotArea type="all" dataOnly="0" outline="0" fieldPosition="0"/>
    </format>
    <format dxfId="1684">
      <pivotArea outline="0" collapsedLevelsAreSubtotals="1" fieldPosition="0"/>
    </format>
    <format dxfId="1683">
      <pivotArea field="6" type="button" dataOnly="0" labelOnly="1" outline="0"/>
    </format>
    <format dxfId="1682">
      <pivotArea dataOnly="0" labelOnly="1" outline="0" axis="axisValues" fieldPosition="0"/>
    </format>
    <format dxfId="1681">
      <pivotArea outline="0" collapsedLevelsAreSubtotals="1" fieldPosition="0"/>
    </format>
    <format dxfId="1680">
      <pivotArea outline="0" fieldPosition="0">
        <references count="1">
          <reference field="4294967294" count="1">
            <x v="0"/>
          </reference>
        </references>
      </pivotArea>
    </format>
    <format dxfId="1679">
      <pivotArea type="all" dataOnly="0" outline="0" fieldPosition="0"/>
    </format>
    <format dxfId="1678">
      <pivotArea outline="0" collapsedLevelsAreSubtotals="1" fieldPosition="0"/>
    </format>
    <format dxfId="1677">
      <pivotArea field="8" type="button" dataOnly="0" labelOnly="1" outline="0" axis="axisRow" fieldPosition="0"/>
    </format>
    <format dxfId="1676">
      <pivotArea dataOnly="0" labelOnly="1" fieldPosition="0">
        <references count="1">
          <reference field="8" count="0"/>
        </references>
      </pivotArea>
    </format>
    <format dxfId="1675">
      <pivotArea dataOnly="0" labelOnly="1" outline="0" axis="axisValues" fieldPosition="0"/>
    </format>
  </formats>
  <chartFormats count="9">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3"/>
          </reference>
        </references>
      </pivotArea>
    </chartFormat>
    <chartFormat chart="30" format="4">
      <pivotArea type="data" outline="0" fieldPosition="0">
        <references count="2">
          <reference field="4294967294" count="1" selected="0">
            <x v="0"/>
          </reference>
          <reference field="8" count="1" selected="0">
            <x v="2"/>
          </reference>
        </references>
      </pivotArea>
    </chartFormat>
    <chartFormat chart="30" format="5">
      <pivotArea type="data" outline="0" fieldPosition="0">
        <references count="2">
          <reference field="4294967294" count="1" selected="0">
            <x v="0"/>
          </reference>
          <reference field="8" count="1" selected="0">
            <x v="1"/>
          </reference>
        </references>
      </pivotArea>
    </chartFormat>
    <chartFormat chart="3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B491FDF-42AC-4BB5-82EF-27BE9F54C10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1"/>
    <pivotTable tabId="2" name="PivotTable12"/>
    <pivotTable tabId="2" name="PivotTable13"/>
  </pivotTables>
  <data>
    <tabular pivotCacheId="91521141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0493F71-789D-44C2-ACE3-C2F4ED14FBC5}" sourceName="Outlet Location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s>
  <data>
    <tabular pivotCacheId="9152114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E208E6B-AC3E-45BD-BD1E-2FBE4FDFCB30}" sourceName="Item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s>
  <data>
    <tabular pivotCacheId="91521141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9DEFEA6-707C-40A7-BA30-B0DAD6DCD81F}" cache="Slicer_Outlet_Size" caption="Outlet Size" rowHeight="262466"/>
  <slicer name="Outlet Location Type" xr10:uid="{27B311E8-1FD4-4227-95C5-BA02EA57B103}" cache="Slicer_Outlet_Location_Type" caption="Outlet Location Type" rowHeight="262466"/>
  <slicer name="Item Type" xr10:uid="{D26100DF-8C48-4C40-B451-558A29F318F7}"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E18BEAD-C3DE-4D13-B51F-E2880D8777B3}" cache="Slicer_Outlet_Size" caption="Outlet Size" style="Blinkit Analysis" rowHeight="262466"/>
  <slicer name="Outlet Location Type 1" xr10:uid="{26CBB47C-A810-4810-89A6-D3B5336E2FAE}" cache="Slicer_Outlet_Location_Type" caption="Outlet Location " style="Blinkit Analysis" rowHeight="262466"/>
  <slicer name="Item Type 1" xr10:uid="{3E64A180-BF7E-4C1A-A473-1FA50DDB79D3}"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44CC85A-6940-4959-8A89-238C79A9CAF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B8524"/>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8887-5304-4953-A85F-FA07B0C159A8}">
  <dimension ref="A1:H94"/>
  <sheetViews>
    <sheetView topLeftCell="A52" workbookViewId="0">
      <selection activeCell="A10" sqref="A9:A10"/>
      <pivotSelection pane="bottomRight" showHeader="1" activeRow="9" click="1" r:id="rId5">
        <pivotArea dataOnly="0" labelOnly="1" fieldPosition="0">
          <references count="1">
            <reference field="0" count="0"/>
          </references>
        </pivotArea>
      </pivotSelection>
    </sheetView>
  </sheetViews>
  <sheetFormatPr defaultRowHeight="15.5" x14ac:dyDescent="0.35"/>
  <cols>
    <col min="1" max="1" width="16.9140625" bestFit="1" customWidth="1"/>
    <col min="2" max="2" width="12.58203125" bestFit="1" customWidth="1"/>
    <col min="3" max="3" width="11.75" bestFit="1" customWidth="1"/>
    <col min="4" max="4" width="14.5" bestFit="1" customWidth="1"/>
  </cols>
  <sheetData>
    <row r="1" spans="1:6" ht="20" thickBot="1" x14ac:dyDescent="0.5">
      <c r="A1" s="46" t="s">
        <v>1619</v>
      </c>
      <c r="B1" s="47"/>
      <c r="C1" s="47"/>
      <c r="D1" s="48"/>
    </row>
    <row r="2" spans="1:6" ht="16" thickBot="1" x14ac:dyDescent="0.4">
      <c r="A2" s="14" t="s">
        <v>1610</v>
      </c>
      <c r="B2" s="15" t="s">
        <v>1614</v>
      </c>
      <c r="C2" s="15" t="s">
        <v>1613</v>
      </c>
      <c r="D2" s="16" t="s">
        <v>1611</v>
      </c>
    </row>
    <row r="3" spans="1:6" ht="16" thickBot="1" x14ac:dyDescent="0.4">
      <c r="A3" s="11">
        <v>1201681.4928000034</v>
      </c>
      <c r="B3" s="12">
        <v>3.9658570925731196</v>
      </c>
      <c r="C3" s="12">
        <v>8523</v>
      </c>
      <c r="D3" s="13">
        <v>140.99278338613203</v>
      </c>
    </row>
    <row r="4" spans="1:6" x14ac:dyDescent="0.35">
      <c r="A4" s="3"/>
      <c r="B4" s="4"/>
      <c r="C4" s="4"/>
      <c r="D4" s="5"/>
    </row>
    <row r="5" spans="1:6" x14ac:dyDescent="0.35">
      <c r="A5" s="3" t="s">
        <v>1615</v>
      </c>
      <c r="B5" s="4" t="s">
        <v>1618</v>
      </c>
      <c r="C5" s="4" t="s">
        <v>1617</v>
      </c>
      <c r="D5" s="5" t="s">
        <v>1616</v>
      </c>
    </row>
    <row r="6" spans="1:6" ht="30" thickBot="1" x14ac:dyDescent="0.6">
      <c r="A6" s="17">
        <f>GETPIVOTDATA("Sum of Sales",$A$2)</f>
        <v>1201681.4928000034</v>
      </c>
      <c r="B6" s="20">
        <f>GETPIVOTDATA("Average of Rating",$A$2)</f>
        <v>3.9658570925731196</v>
      </c>
      <c r="C6" s="19">
        <f>GETPIVOTDATA("Number of Items",$A$2)</f>
        <v>8523</v>
      </c>
      <c r="D6" s="18">
        <f>GETPIVOTDATA("Average of Sales",$A$2)</f>
        <v>140.99278338613203</v>
      </c>
    </row>
    <row r="7" spans="1:6" ht="20" thickBot="1" x14ac:dyDescent="0.5">
      <c r="A7" s="46" t="s">
        <v>1621</v>
      </c>
      <c r="B7" s="47"/>
      <c r="C7" s="47"/>
      <c r="D7" s="48"/>
    </row>
    <row r="8" spans="1:6" ht="16" thickBot="1" x14ac:dyDescent="0.4">
      <c r="A8" s="27" t="s">
        <v>1620</v>
      </c>
      <c r="B8" s="28" t="s">
        <v>1610</v>
      </c>
      <c r="C8" s="4"/>
      <c r="D8" s="5"/>
    </row>
    <row r="9" spans="1:6" x14ac:dyDescent="0.35">
      <c r="A9" s="22" t="s">
        <v>17</v>
      </c>
      <c r="B9" s="24">
        <v>776319.68840000057</v>
      </c>
      <c r="C9" s="4"/>
      <c r="D9" s="5"/>
    </row>
    <row r="10" spans="1:6" ht="16" thickBot="1" x14ac:dyDescent="0.4">
      <c r="A10" s="23" t="s">
        <v>10</v>
      </c>
      <c r="B10" s="29">
        <v>425361.8043999995</v>
      </c>
      <c r="C10" s="4"/>
      <c r="D10" s="5"/>
    </row>
    <row r="11" spans="1:6" x14ac:dyDescent="0.35">
      <c r="C11" s="4"/>
      <c r="D11" s="5"/>
    </row>
    <row r="12" spans="1:6" x14ac:dyDescent="0.35">
      <c r="A12" s="3"/>
      <c r="B12" s="4"/>
      <c r="C12" s="4"/>
      <c r="D12" s="5"/>
    </row>
    <row r="13" spans="1:6" x14ac:dyDescent="0.35">
      <c r="A13" s="3"/>
      <c r="B13" s="4"/>
      <c r="C13" s="4"/>
      <c r="D13" s="5"/>
    </row>
    <row r="14" spans="1:6" x14ac:dyDescent="0.35">
      <c r="A14" s="3"/>
      <c r="B14" s="4"/>
      <c r="C14" s="4"/>
      <c r="D14" s="5"/>
    </row>
    <row r="15" spans="1:6" ht="16" thickBot="1" x14ac:dyDescent="0.4">
      <c r="A15" s="3"/>
      <c r="B15" s="4"/>
      <c r="C15" s="4"/>
      <c r="D15" s="5"/>
    </row>
    <row r="16" spans="1:6" ht="20" thickBot="1" x14ac:dyDescent="0.5">
      <c r="A16" s="46" t="s">
        <v>1624</v>
      </c>
      <c r="B16" s="47"/>
      <c r="C16" s="47"/>
      <c r="D16" s="48"/>
      <c r="E16" s="1"/>
      <c r="F16" s="2"/>
    </row>
    <row r="17" spans="1:6" ht="16" thickBot="1" x14ac:dyDescent="0.4">
      <c r="A17" s="27" t="s">
        <v>1610</v>
      </c>
      <c r="B17" s="27" t="s">
        <v>1623</v>
      </c>
      <c r="C17" s="16"/>
      <c r="D17" s="4"/>
      <c r="E17" s="4"/>
      <c r="F17" s="5"/>
    </row>
    <row r="18" spans="1:6" ht="16" thickBot="1" x14ac:dyDescent="0.4">
      <c r="A18" s="27" t="s">
        <v>1620</v>
      </c>
      <c r="B18" s="15" t="s">
        <v>10</v>
      </c>
      <c r="C18" s="16" t="s">
        <v>17</v>
      </c>
      <c r="D18" s="4"/>
      <c r="E18" s="4"/>
      <c r="F18" s="5"/>
    </row>
    <row r="19" spans="1:6" x14ac:dyDescent="0.35">
      <c r="A19" s="32" t="s">
        <v>14</v>
      </c>
      <c r="B19" s="30">
        <v>121349.89940000001</v>
      </c>
      <c r="C19" s="31">
        <v>215047.9126000001</v>
      </c>
      <c r="D19" s="4"/>
      <c r="E19" s="4"/>
      <c r="F19" s="5"/>
    </row>
    <row r="20" spans="1:6" x14ac:dyDescent="0.35">
      <c r="A20" s="22" t="s">
        <v>34</v>
      </c>
      <c r="B20" s="6">
        <v>138685.86819999994</v>
      </c>
      <c r="C20" s="7">
        <v>254464.77940000014</v>
      </c>
      <c r="D20" s="4"/>
      <c r="E20" s="4"/>
      <c r="F20" s="5"/>
    </row>
    <row r="21" spans="1:6" ht="16" thickBot="1" x14ac:dyDescent="0.4">
      <c r="A21" s="23" t="s">
        <v>21</v>
      </c>
      <c r="B21" s="9">
        <v>165326.0368</v>
      </c>
      <c r="C21" s="10">
        <v>306806.99640000012</v>
      </c>
      <c r="D21" s="8"/>
      <c r="E21" s="8"/>
      <c r="F21" s="26"/>
    </row>
    <row r="22" spans="1:6" ht="16" thickBot="1" x14ac:dyDescent="0.4"/>
    <row r="23" spans="1:6" ht="20" thickBot="1" x14ac:dyDescent="0.5">
      <c r="A23" s="46" t="s">
        <v>1622</v>
      </c>
      <c r="B23" s="47"/>
      <c r="C23" s="47"/>
      <c r="D23" s="48"/>
      <c r="E23" s="1"/>
      <c r="F23" s="2"/>
    </row>
    <row r="24" spans="1:6" ht="16" thickBot="1" x14ac:dyDescent="0.4">
      <c r="A24" s="27" t="s">
        <v>1620</v>
      </c>
      <c r="B24" s="28" t="s">
        <v>1610</v>
      </c>
      <c r="C24" s="4"/>
      <c r="D24" s="4"/>
      <c r="E24" s="4"/>
      <c r="F24" s="5"/>
    </row>
    <row r="25" spans="1:6" x14ac:dyDescent="0.35">
      <c r="A25" s="32" t="s">
        <v>153</v>
      </c>
      <c r="B25" s="33">
        <v>9077.869999999999</v>
      </c>
      <c r="C25" s="4"/>
      <c r="D25" s="36"/>
      <c r="E25" s="36"/>
      <c r="F25" s="37"/>
    </row>
    <row r="26" spans="1:6" x14ac:dyDescent="0.35">
      <c r="A26" s="22" t="s">
        <v>74</v>
      </c>
      <c r="B26" s="34">
        <v>15596.696600000001</v>
      </c>
      <c r="C26" s="4"/>
      <c r="D26" s="4"/>
      <c r="E26" s="4"/>
      <c r="F26" s="5"/>
    </row>
    <row r="27" spans="1:6" x14ac:dyDescent="0.35">
      <c r="A27" s="22" t="s">
        <v>159</v>
      </c>
      <c r="B27" s="34">
        <v>21880.027399999992</v>
      </c>
      <c r="C27" s="4"/>
      <c r="D27" s="4"/>
      <c r="E27" s="4"/>
      <c r="F27" s="5"/>
    </row>
    <row r="28" spans="1:6" x14ac:dyDescent="0.35">
      <c r="A28" s="22" t="s">
        <v>64</v>
      </c>
      <c r="B28" s="34">
        <v>22451.891599999999</v>
      </c>
      <c r="C28" s="4"/>
      <c r="D28" s="4"/>
      <c r="E28" s="4"/>
      <c r="F28" s="5"/>
    </row>
    <row r="29" spans="1:6" x14ac:dyDescent="0.35">
      <c r="A29" s="22" t="s">
        <v>61</v>
      </c>
      <c r="B29" s="34">
        <v>29334.680599999996</v>
      </c>
      <c r="C29" s="4"/>
      <c r="D29" s="4"/>
      <c r="E29" s="4"/>
      <c r="F29" s="5"/>
    </row>
    <row r="30" spans="1:6" x14ac:dyDescent="0.35">
      <c r="A30" s="22" t="s">
        <v>57</v>
      </c>
      <c r="B30" s="34">
        <v>35379.119800000015</v>
      </c>
      <c r="C30" s="4"/>
      <c r="D30" s="4"/>
      <c r="E30" s="4"/>
      <c r="F30" s="5"/>
    </row>
    <row r="31" spans="1:6" x14ac:dyDescent="0.35">
      <c r="A31" s="22" t="s">
        <v>32</v>
      </c>
      <c r="B31" s="34">
        <v>58514.166999999987</v>
      </c>
      <c r="C31" s="4"/>
      <c r="D31" s="4"/>
      <c r="E31" s="4"/>
      <c r="F31" s="5"/>
    </row>
    <row r="32" spans="1:6" x14ac:dyDescent="0.35">
      <c r="A32" s="22" t="s">
        <v>54</v>
      </c>
      <c r="B32" s="34">
        <v>59449.863799999992</v>
      </c>
      <c r="C32" s="4"/>
      <c r="D32" s="4"/>
      <c r="E32" s="4"/>
      <c r="F32" s="5"/>
    </row>
    <row r="33" spans="1:7" x14ac:dyDescent="0.35">
      <c r="A33" s="22" t="s">
        <v>19</v>
      </c>
      <c r="B33" s="34">
        <v>68025.838800000012</v>
      </c>
      <c r="C33" s="4"/>
      <c r="D33" s="4"/>
      <c r="E33" s="4"/>
      <c r="F33" s="5"/>
    </row>
    <row r="34" spans="1:7" x14ac:dyDescent="0.35">
      <c r="A34" s="22" t="s">
        <v>95</v>
      </c>
      <c r="B34" s="34">
        <v>81894.736400000009</v>
      </c>
      <c r="C34" s="4"/>
      <c r="D34" s="4"/>
      <c r="E34" s="4"/>
      <c r="F34" s="5"/>
    </row>
    <row r="35" spans="1:7" x14ac:dyDescent="0.35">
      <c r="A35" s="22" t="s">
        <v>28</v>
      </c>
      <c r="B35" s="34">
        <v>90706.728999999992</v>
      </c>
      <c r="C35" s="4"/>
      <c r="D35" s="4"/>
      <c r="E35" s="4"/>
      <c r="F35" s="5"/>
    </row>
    <row r="36" spans="1:7" x14ac:dyDescent="0.35">
      <c r="A36" s="22" t="s">
        <v>67</v>
      </c>
      <c r="B36" s="34">
        <v>101276.46159999995</v>
      </c>
      <c r="C36" s="4"/>
      <c r="D36" s="4"/>
      <c r="E36" s="4"/>
      <c r="F36" s="5"/>
    </row>
    <row r="37" spans="1:7" x14ac:dyDescent="0.35">
      <c r="A37" s="22" t="s">
        <v>24</v>
      </c>
      <c r="B37" s="34">
        <v>118558.88140000009</v>
      </c>
      <c r="C37" s="4"/>
      <c r="D37" s="4"/>
      <c r="E37" s="4"/>
      <c r="F37" s="5"/>
    </row>
    <row r="38" spans="1:7" x14ac:dyDescent="0.35">
      <c r="A38" s="22" t="s">
        <v>42</v>
      </c>
      <c r="B38" s="34">
        <v>135976.52539999998</v>
      </c>
      <c r="C38" s="4"/>
      <c r="D38" s="4"/>
      <c r="E38" s="4"/>
      <c r="F38" s="5"/>
    </row>
    <row r="39" spans="1:7" x14ac:dyDescent="0.35">
      <c r="A39" s="22" t="s">
        <v>48</v>
      </c>
      <c r="B39" s="34">
        <v>175433.92240000021</v>
      </c>
      <c r="C39" s="4"/>
      <c r="D39" s="4"/>
      <c r="E39" s="4"/>
      <c r="F39" s="5"/>
    </row>
    <row r="40" spans="1:7" ht="16" thickBot="1" x14ac:dyDescent="0.4">
      <c r="A40" s="23" t="s">
        <v>12</v>
      </c>
      <c r="B40" s="35">
        <v>178124.08099999995</v>
      </c>
      <c r="C40" s="8"/>
      <c r="D40" s="8"/>
      <c r="E40" s="8"/>
      <c r="F40" s="26"/>
    </row>
    <row r="41" spans="1:7" ht="16" thickBot="1" x14ac:dyDescent="0.4"/>
    <row r="42" spans="1:7" ht="20" thickBot="1" x14ac:dyDescent="0.5">
      <c r="A42" s="46" t="s">
        <v>1625</v>
      </c>
      <c r="B42" s="47"/>
      <c r="C42" s="47"/>
      <c r="D42" s="48"/>
      <c r="E42" s="1"/>
      <c r="F42" s="1"/>
      <c r="G42" s="2"/>
    </row>
    <row r="43" spans="1:7" ht="16" thickBot="1" x14ac:dyDescent="0.4">
      <c r="A43" s="27" t="s">
        <v>1620</v>
      </c>
      <c r="B43" s="28" t="s">
        <v>1610</v>
      </c>
      <c r="C43" s="36"/>
      <c r="D43" s="36"/>
      <c r="E43" s="36"/>
      <c r="F43" s="36"/>
      <c r="G43" s="5"/>
    </row>
    <row r="44" spans="1:7" x14ac:dyDescent="0.35">
      <c r="A44" s="32">
        <v>2011</v>
      </c>
      <c r="B44" s="33">
        <v>78131.566599999976</v>
      </c>
      <c r="C44" s="4"/>
      <c r="D44" s="4"/>
      <c r="E44" s="4"/>
      <c r="F44" s="4"/>
      <c r="G44" s="5"/>
    </row>
    <row r="45" spans="1:7" x14ac:dyDescent="0.35">
      <c r="A45" s="22">
        <v>2012</v>
      </c>
      <c r="B45" s="34">
        <v>130476.85979999998</v>
      </c>
      <c r="C45" s="4"/>
      <c r="D45" s="4"/>
      <c r="E45" s="4"/>
      <c r="F45" s="4"/>
      <c r="G45" s="5"/>
    </row>
    <row r="46" spans="1:7" x14ac:dyDescent="0.35">
      <c r="A46" s="22">
        <v>2014</v>
      </c>
      <c r="B46" s="34">
        <v>131809.01560000007</v>
      </c>
      <c r="C46" s="4"/>
      <c r="D46" s="4"/>
      <c r="E46" s="4"/>
      <c r="F46" s="4"/>
      <c r="G46" s="5"/>
    </row>
    <row r="47" spans="1:7" x14ac:dyDescent="0.35">
      <c r="A47" s="22">
        <v>2015</v>
      </c>
      <c r="B47" s="34">
        <v>130942.78019999999</v>
      </c>
      <c r="C47" s="4"/>
      <c r="D47" s="4"/>
      <c r="E47" s="4"/>
      <c r="F47" s="4"/>
      <c r="G47" s="5"/>
    </row>
    <row r="48" spans="1:7" x14ac:dyDescent="0.35">
      <c r="A48" s="22">
        <v>2016</v>
      </c>
      <c r="B48" s="34">
        <v>132113.36980000007</v>
      </c>
      <c r="C48" s="4"/>
      <c r="D48" s="4"/>
      <c r="E48" s="4"/>
      <c r="F48" s="4"/>
      <c r="G48" s="5"/>
    </row>
    <row r="49" spans="1:8" x14ac:dyDescent="0.35">
      <c r="A49" s="22">
        <v>2017</v>
      </c>
      <c r="B49" s="34">
        <v>133103.90699999989</v>
      </c>
      <c r="C49" s="4"/>
      <c r="D49" s="4"/>
      <c r="E49" s="4"/>
      <c r="F49" s="4"/>
      <c r="G49" s="5"/>
    </row>
    <row r="50" spans="1:8" x14ac:dyDescent="0.35">
      <c r="A50" s="22">
        <v>2018</v>
      </c>
      <c r="B50" s="34">
        <v>204522.25700000025</v>
      </c>
      <c r="C50" s="4"/>
      <c r="D50" s="4"/>
      <c r="E50" s="4"/>
      <c r="F50" s="4"/>
      <c r="G50" s="5"/>
    </row>
    <row r="51" spans="1:8" x14ac:dyDescent="0.35">
      <c r="A51" s="22">
        <v>2020</v>
      </c>
      <c r="B51" s="34">
        <v>129103.96039999987</v>
      </c>
      <c r="C51" s="4"/>
      <c r="D51" s="4"/>
      <c r="E51" s="4"/>
      <c r="F51" s="4"/>
      <c r="G51" s="5"/>
    </row>
    <row r="52" spans="1:8" ht="16" thickBot="1" x14ac:dyDescent="0.4">
      <c r="A52" s="23">
        <v>2022</v>
      </c>
      <c r="B52" s="35">
        <v>131477.77639999994</v>
      </c>
      <c r="C52" s="4"/>
      <c r="D52" s="4"/>
      <c r="E52" s="4"/>
      <c r="F52" s="4"/>
      <c r="G52" s="5"/>
    </row>
    <row r="53" spans="1:8" ht="16" thickBot="1" x14ac:dyDescent="0.4">
      <c r="A53" s="25"/>
      <c r="B53" s="8"/>
      <c r="C53" s="8"/>
      <c r="D53" s="8"/>
      <c r="E53" s="8"/>
      <c r="F53" s="8"/>
      <c r="G53" s="26"/>
    </row>
    <row r="54" spans="1:8" ht="16" thickBot="1" x14ac:dyDescent="0.4"/>
    <row r="55" spans="1:8" ht="20" thickBot="1" x14ac:dyDescent="0.5">
      <c r="A55" s="46" t="s">
        <v>1626</v>
      </c>
      <c r="B55" s="47"/>
      <c r="C55" s="47"/>
      <c r="D55" s="48"/>
    </row>
    <row r="56" spans="1:8" ht="16" thickBot="1" x14ac:dyDescent="0.4">
      <c r="A56" s="27" t="s">
        <v>1620</v>
      </c>
      <c r="B56" s="28" t="s">
        <v>1610</v>
      </c>
      <c r="C56" s="36"/>
      <c r="D56" s="37"/>
      <c r="E56" s="21"/>
      <c r="F56" s="21"/>
      <c r="G56" s="21"/>
    </row>
    <row r="57" spans="1:8" x14ac:dyDescent="0.35">
      <c r="A57" s="22" t="s">
        <v>30</v>
      </c>
      <c r="B57" s="33">
        <v>248991.58600000024</v>
      </c>
      <c r="C57" s="4"/>
      <c r="D57" s="5"/>
    </row>
    <row r="58" spans="1:8" x14ac:dyDescent="0.35">
      <c r="A58" s="22" t="s">
        <v>15</v>
      </c>
      <c r="B58" s="34">
        <v>507895.7363999993</v>
      </c>
      <c r="C58" s="4"/>
      <c r="D58" s="5"/>
    </row>
    <row r="59" spans="1:8" ht="16" thickBot="1" x14ac:dyDescent="0.4">
      <c r="A59" s="23" t="s">
        <v>26</v>
      </c>
      <c r="B59" s="35">
        <v>444794.17039999936</v>
      </c>
      <c r="C59" s="4"/>
      <c r="D59" s="5"/>
    </row>
    <row r="60" spans="1:8" x14ac:dyDescent="0.35">
      <c r="A60" s="3"/>
      <c r="B60" s="4"/>
      <c r="C60" s="4"/>
      <c r="D60" s="5"/>
    </row>
    <row r="61" spans="1:8" x14ac:dyDescent="0.35">
      <c r="A61" s="3"/>
      <c r="B61" s="4"/>
      <c r="C61" s="4"/>
      <c r="D61" s="5"/>
    </row>
    <row r="62" spans="1:8" ht="16" thickBot="1" x14ac:dyDescent="0.4">
      <c r="A62" s="3"/>
      <c r="B62" s="4"/>
      <c r="C62" s="4"/>
      <c r="D62" s="5"/>
    </row>
    <row r="63" spans="1:8" ht="20" thickBot="1" x14ac:dyDescent="0.5">
      <c r="A63" s="46" t="s">
        <v>1628</v>
      </c>
      <c r="B63" s="47"/>
      <c r="C63" s="47"/>
      <c r="D63" s="48"/>
      <c r="E63" s="1"/>
      <c r="F63" s="1"/>
      <c r="G63" s="1"/>
      <c r="H63" s="2"/>
    </row>
    <row r="64" spans="1:8" ht="16" thickBot="1" x14ac:dyDescent="0.4">
      <c r="A64" s="3"/>
      <c r="B64" s="4"/>
      <c r="C64" s="38" t="s">
        <v>1627</v>
      </c>
      <c r="D64" s="38" t="s">
        <v>1608</v>
      </c>
      <c r="E64" s="4"/>
      <c r="F64" s="4"/>
      <c r="G64" s="4"/>
      <c r="H64" s="5"/>
    </row>
    <row r="65" spans="1:8" ht="16" thickBot="1" x14ac:dyDescent="0.4">
      <c r="A65" s="27" t="s">
        <v>1620</v>
      </c>
      <c r="B65" s="28" t="s">
        <v>1610</v>
      </c>
      <c r="C65" s="4" t="str">
        <f>A66</f>
        <v>Tier 3</v>
      </c>
      <c r="D65" s="39">
        <f>GETPIVOTDATA("Sales",$A$65,"Outlet Location Type",A66)</f>
        <v>472133.03319999954</v>
      </c>
      <c r="E65" s="4"/>
      <c r="F65" s="4"/>
      <c r="G65" s="4"/>
      <c r="H65" s="5"/>
    </row>
    <row r="66" spans="1:8" x14ac:dyDescent="0.35">
      <c r="A66" s="32" t="s">
        <v>21</v>
      </c>
      <c r="B66" s="33">
        <v>472133.03319999954</v>
      </c>
      <c r="C66" s="4" t="str">
        <f t="shared" ref="C66:C67" si="0">A67</f>
        <v>Tier 2</v>
      </c>
      <c r="D66" s="39">
        <f t="shared" ref="D66:D67" si="1">GETPIVOTDATA("Sales",$A$65,"Outlet Location Type",A67)</f>
        <v>393150.64759999956</v>
      </c>
      <c r="E66" s="4"/>
      <c r="F66" s="4"/>
      <c r="G66" s="4"/>
      <c r="H66" s="5"/>
    </row>
    <row r="67" spans="1:8" x14ac:dyDescent="0.35">
      <c r="A67" s="22" t="s">
        <v>34</v>
      </c>
      <c r="B67" s="34">
        <v>393150.64759999956</v>
      </c>
      <c r="C67" s="4" t="str">
        <f t="shared" si="0"/>
        <v>Tier 1</v>
      </c>
      <c r="D67" s="39">
        <f t="shared" si="1"/>
        <v>336397.81199999945</v>
      </c>
      <c r="E67" s="4"/>
      <c r="F67" s="4"/>
      <c r="G67" s="4"/>
      <c r="H67" s="5"/>
    </row>
    <row r="68" spans="1:8" ht="16" thickBot="1" x14ac:dyDescent="0.4">
      <c r="A68" s="23" t="s">
        <v>14</v>
      </c>
      <c r="B68" s="35">
        <v>336397.81199999945</v>
      </c>
      <c r="C68" s="4"/>
      <c r="D68" s="4"/>
      <c r="E68" s="4"/>
      <c r="F68" s="4"/>
      <c r="G68" s="4"/>
      <c r="H68" s="5"/>
    </row>
    <row r="69" spans="1:8" x14ac:dyDescent="0.35">
      <c r="A69" s="3"/>
      <c r="B69" s="4"/>
      <c r="C69" s="4"/>
      <c r="D69" s="4"/>
      <c r="E69" s="4"/>
      <c r="F69" s="4"/>
      <c r="G69" s="4"/>
      <c r="H69" s="5"/>
    </row>
    <row r="70" spans="1:8" x14ac:dyDescent="0.35">
      <c r="A70" s="3"/>
      <c r="B70" s="4"/>
      <c r="C70" s="4"/>
      <c r="D70" s="4"/>
      <c r="E70" s="4"/>
      <c r="F70" s="4"/>
      <c r="G70" s="4"/>
      <c r="H70" s="5"/>
    </row>
    <row r="71" spans="1:8" ht="16" thickBot="1" x14ac:dyDescent="0.4">
      <c r="A71" s="25"/>
      <c r="B71" s="8"/>
      <c r="C71" s="8"/>
      <c r="D71" s="8"/>
      <c r="E71" s="8"/>
      <c r="F71" s="8"/>
      <c r="G71" s="8"/>
      <c r="H71" s="26"/>
    </row>
    <row r="72" spans="1:8" ht="16" thickBot="1" x14ac:dyDescent="0.4"/>
    <row r="73" spans="1:8" ht="20" thickBot="1" x14ac:dyDescent="0.5">
      <c r="A73" s="46" t="s">
        <v>1630</v>
      </c>
      <c r="B73" s="47"/>
      <c r="C73" s="47"/>
      <c r="D73" s="48"/>
    </row>
    <row r="74" spans="1:8" ht="16" thickBot="1" x14ac:dyDescent="0.4">
      <c r="A74" s="27" t="s">
        <v>1620</v>
      </c>
      <c r="B74" s="28" t="s">
        <v>1610</v>
      </c>
      <c r="C74" s="36"/>
      <c r="D74" s="37"/>
      <c r="E74" s="21"/>
      <c r="F74" s="21"/>
      <c r="G74" s="21"/>
      <c r="H74" s="21"/>
    </row>
    <row r="75" spans="1:8" x14ac:dyDescent="0.35">
      <c r="A75" s="22" t="s">
        <v>40</v>
      </c>
      <c r="B75" s="33">
        <v>151939.149</v>
      </c>
      <c r="C75" s="4"/>
      <c r="D75" s="5"/>
    </row>
    <row r="76" spans="1:8" x14ac:dyDescent="0.35">
      <c r="A76" s="22" t="s">
        <v>46</v>
      </c>
      <c r="B76" s="34">
        <v>130714.67460000006</v>
      </c>
      <c r="C76" s="4"/>
      <c r="D76" s="5"/>
    </row>
    <row r="77" spans="1:8" x14ac:dyDescent="0.35">
      <c r="A77" s="22" t="s">
        <v>22</v>
      </c>
      <c r="B77" s="34">
        <v>131477.77639999994</v>
      </c>
      <c r="C77" s="4"/>
      <c r="D77" s="5"/>
    </row>
    <row r="78" spans="1:8" ht="16" thickBot="1" x14ac:dyDescent="0.4">
      <c r="A78" s="23" t="s">
        <v>16</v>
      </c>
      <c r="B78" s="35">
        <v>787549.89280000131</v>
      </c>
      <c r="C78" s="4"/>
      <c r="D78" s="5"/>
    </row>
    <row r="79" spans="1:8" x14ac:dyDescent="0.35">
      <c r="A79" s="3"/>
      <c r="B79" s="4"/>
      <c r="C79" s="4"/>
      <c r="D79" s="5"/>
    </row>
    <row r="80" spans="1:8" ht="16" thickBot="1" x14ac:dyDescent="0.4">
      <c r="A80" s="3"/>
      <c r="B80" s="4"/>
      <c r="C80" s="4"/>
      <c r="D80" s="5"/>
    </row>
    <row r="81" spans="1:4" ht="16" thickBot="1" x14ac:dyDescent="0.4">
      <c r="A81" s="27" t="s">
        <v>1620</v>
      </c>
      <c r="B81" s="28" t="s">
        <v>1611</v>
      </c>
      <c r="C81" s="4"/>
      <c r="D81" s="5"/>
    </row>
    <row r="82" spans="1:4" x14ac:dyDescent="0.35">
      <c r="A82" s="22" t="s">
        <v>40</v>
      </c>
      <c r="B82" s="40">
        <v>140.29468975069253</v>
      </c>
      <c r="C82" s="4"/>
      <c r="D82" s="5"/>
    </row>
    <row r="83" spans="1:4" x14ac:dyDescent="0.35">
      <c r="A83" s="22" t="s">
        <v>46</v>
      </c>
      <c r="B83" s="41">
        <v>139.80179101604284</v>
      </c>
      <c r="C83" s="4"/>
      <c r="D83" s="5"/>
    </row>
    <row r="84" spans="1:4" x14ac:dyDescent="0.35">
      <c r="A84" s="22" t="s">
        <v>22</v>
      </c>
      <c r="B84" s="41">
        <v>141.67863836206891</v>
      </c>
      <c r="C84" s="4"/>
      <c r="D84" s="5"/>
    </row>
    <row r="85" spans="1:4" ht="16" thickBot="1" x14ac:dyDescent="0.4">
      <c r="A85" s="23" t="s">
        <v>16</v>
      </c>
      <c r="B85" s="42">
        <v>141.21389506903375</v>
      </c>
      <c r="C85" s="4"/>
      <c r="D85" s="5"/>
    </row>
    <row r="86" spans="1:4" x14ac:dyDescent="0.35">
      <c r="A86" s="3"/>
      <c r="B86" s="4"/>
      <c r="C86" s="4"/>
      <c r="D86" s="5"/>
    </row>
    <row r="87" spans="1:4" ht="16" thickBot="1" x14ac:dyDescent="0.4">
      <c r="A87" s="3"/>
      <c r="B87" s="4"/>
      <c r="C87" s="4"/>
      <c r="D87" s="5"/>
    </row>
    <row r="88" spans="1:4" ht="16" thickBot="1" x14ac:dyDescent="0.4">
      <c r="A88" s="27" t="s">
        <v>1620</v>
      </c>
      <c r="B88" s="28" t="s">
        <v>1629</v>
      </c>
      <c r="C88" s="4"/>
      <c r="D88" s="5"/>
    </row>
    <row r="89" spans="1:4" x14ac:dyDescent="0.35">
      <c r="A89" s="22" t="s">
        <v>40</v>
      </c>
      <c r="B89" s="43">
        <v>1083</v>
      </c>
      <c r="C89" s="4"/>
      <c r="D89" s="5"/>
    </row>
    <row r="90" spans="1:4" x14ac:dyDescent="0.35">
      <c r="A90" s="22" t="s">
        <v>46</v>
      </c>
      <c r="B90" s="44">
        <v>935</v>
      </c>
      <c r="C90" s="4"/>
      <c r="D90" s="5"/>
    </row>
    <row r="91" spans="1:4" x14ac:dyDescent="0.35">
      <c r="A91" s="22" t="s">
        <v>22</v>
      </c>
      <c r="B91" s="44">
        <v>928</v>
      </c>
      <c r="C91" s="4"/>
      <c r="D91" s="5"/>
    </row>
    <row r="92" spans="1:4" ht="16" thickBot="1" x14ac:dyDescent="0.4">
      <c r="A92" s="23" t="s">
        <v>16</v>
      </c>
      <c r="B92" s="45">
        <v>5577</v>
      </c>
      <c r="C92" s="4"/>
      <c r="D92" s="5"/>
    </row>
    <row r="93" spans="1:4" x14ac:dyDescent="0.35">
      <c r="A93" s="3"/>
      <c r="B93" s="4"/>
      <c r="C93" s="4"/>
      <c r="D93" s="5"/>
    </row>
    <row r="94" spans="1:4" ht="16" thickBot="1" x14ac:dyDescent="0.4">
      <c r="A94" s="25"/>
      <c r="B94" s="8"/>
      <c r="C94" s="8"/>
      <c r="D94" s="26"/>
    </row>
  </sheetData>
  <mergeCells count="8">
    <mergeCell ref="A63:D63"/>
    <mergeCell ref="A73:D73"/>
    <mergeCell ref="A1:D1"/>
    <mergeCell ref="A7:D7"/>
    <mergeCell ref="A16:D16"/>
    <mergeCell ref="A23:D23"/>
    <mergeCell ref="A42:D42"/>
    <mergeCell ref="A55:D5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1B7E-0C86-416C-9FEB-F0E3585323CF}">
  <dimension ref="A1"/>
  <sheetViews>
    <sheetView showGridLines="0" tabSelected="1" zoomScale="77" zoomScaleNormal="77" workbookViewId="0">
      <selection activeCell="W13" sqref="W13"/>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Dell</cp:lastModifiedBy>
  <dcterms:created xsi:type="dcterms:W3CDTF">2024-06-23T13:11:17Z</dcterms:created>
  <dcterms:modified xsi:type="dcterms:W3CDTF">2025-11-04T10:35:05Z</dcterms:modified>
</cp:coreProperties>
</file>